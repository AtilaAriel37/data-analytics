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filterPrivacy="1" codeName="ThisWorkbook" hidePivotFieldList="1"/>
  <xr:revisionPtr revIDLastSave="0" documentId="13_ncr:1_{A77C3E12-C242-4C25-AC2B-B0590F6EC117}" xr6:coauthVersionLast="47" xr6:coauthVersionMax="47" xr10:uidLastSave="{00000000-0000-0000-0000-000000000000}"/>
  <bookViews>
    <workbookView xWindow="-120" yWindow="-120" windowWidth="20730" windowHeight="11160" firstSheet="1" activeTab="4" xr2:uid="{00000000-000D-0000-FFFF-FFFF00000000}"/>
  </bookViews>
  <sheets>
    <sheet name="Reporte_Ejecutivo" sheetId="1" r:id="rId1"/>
    <sheet name="Resumen del escenario" sheetId="8" r:id="rId2"/>
    <sheet name="Evaluación_Financiera" sheetId="2" r:id="rId3"/>
    <sheet name="Estadisticas" sheetId="6" r:id="rId4"/>
    <sheet name="Dashboard_Final" sheetId="9" r:id="rId5"/>
    <sheet name="Registro_IA" sheetId="10" r:id="rId6"/>
    <sheet name="Datos_ETL" sheetId="5" state="hidden" r:id="rId7"/>
  </sheets>
  <definedNames>
    <definedName name="_xlnm.Print_Area" localSheetId="0">Reporte_Ejecutivo!$A$1:$J$30</definedName>
    <definedName name="SegmentaciónDeDatos_Año">#N/A</definedName>
    <definedName name="SegmentaciónDeDatos_Categoría">#N/A</definedName>
    <definedName name="SegmentaciónDeDatos_Categoría1">#N/A</definedName>
    <definedName name="SegmentaciónDeDatos_Región">#N/A</definedName>
    <definedName name="SegmentaciónDeDatos_Región1">#N/A</definedName>
  </definedNames>
  <calcPr calcId="191029"/>
  <pivotCaches>
    <pivotCache cacheId="0" r:id="rId8"/>
    <pivotCache cacheId="1" r:id="rId9"/>
    <pivotCache cacheId="2" r:id="rId10"/>
    <pivotCache cacheId="3" r:id="rId11"/>
    <pivotCache cacheId="4" r:id="rId12"/>
    <pivotCache cacheId="5" r:id="rId13"/>
    <pivotCache cacheId="6" r:id="rId14"/>
  </pivotCaches>
  <extLst>
    <ext xmlns:x14="http://schemas.microsoft.com/office/spreadsheetml/2009/9/main" uri="{876F7934-8845-4945-9796-88D515C7AA90}">
      <x14:pivotCaches>
        <pivotCache cacheId="7" r:id="rId15"/>
        <pivotCache cacheId="8"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Transacciones 1_0102e77c-2dc0-4649-b575-86daf658cfd1" name="Fact_Transacciones 1" connection="Consulta - Fact_Transacciones"/>
          <x15:modelTable id="Dim_Sanatorios_5c8a25d0-2cbd-47d8-85f7-ed749100ebf0" name="Dim_Sanatorios" connection="Consulta - Dim_Sanatorios"/>
          <x15:modelTable id="Dim_Productos_10b0062a-a382-4e04-9ebb-7093c24305c1" name="Dim_Productos" connection="Consulta - Dim_Productos"/>
          <x15:modelTable id="Dim_Calendario_a963ac58-5b5a-4813-9580-75e4394d19ed" name="Dim_Calendario" connection="Consulta - Dim_Calendario"/>
        </x15:modelTables>
        <x15:modelRelationships>
          <x15:modelRelationship fromTable="Fact_Transacciones 1" fromColumn="ID_Sanatorio" toTable="Dim_Sanatorios" toColumn="ID_Sanatorio"/>
          <x15:modelRelationship fromTable="Fact_Transacciones 1" fromColumn="ID_Insumo" toTable="Dim_Productos" toColumn="ID_Insumo"/>
          <x15:modelRelationship fromTable="Fact_Transacciones 1" fromColumn="Fecha" toTable="Dim_Calendario" toColumn="Fecha"/>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F15" i="9" l="1"/>
  <c r="D15" i="9"/>
  <c r="B17" i="9"/>
  <c r="B15" i="9"/>
  <c r="F8" i="2"/>
  <c r="D16" i="9"/>
  <c r="E54" i="9"/>
  <c r="E53" i="9"/>
  <c r="E55" i="9"/>
  <c r="E48" i="9"/>
  <c r="E49" i="9"/>
  <c r="E50" i="9"/>
  <c r="D17" i="9" l="1"/>
  <c r="F17" i="9"/>
  <c r="F16" i="9"/>
  <c r="B16" i="9"/>
  <c r="F9" i="2"/>
  <c r="F10" i="2"/>
  <c r="G6" i="1" l="1"/>
  <c r="G5" i="1"/>
  <c r="G4" i="1" l="1"/>
  <c r="B13" i="2"/>
  <c r="C13" i="2" s="1"/>
  <c r="B8" i="2"/>
  <c r="B22" i="2" s="1"/>
  <c r="B14" i="2" l="1"/>
  <c r="B15" i="2" s="1"/>
  <c r="F11" i="2"/>
  <c r="F12" i="2" s="1"/>
  <c r="C14" i="2"/>
  <c r="C15" i="2" l="1"/>
  <c r="B16" i="2"/>
  <c r="C16" i="2" l="1"/>
  <c r="B17" i="2"/>
  <c r="B18" i="2" l="1"/>
  <c r="C17" i="2"/>
  <c r="C18" i="2" l="1"/>
  <c r="B24" i="2"/>
  <c r="B2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sulta - Dim_Calendario" description="Conexión a la consulta 'Dim_Calendario' en el libro." type="100" refreshedVersion="8" minRefreshableVersion="5">
    <extLst>
      <ext xmlns:x15="http://schemas.microsoft.com/office/spreadsheetml/2010/11/main" uri="{DE250136-89BD-433C-8126-D09CA5730AF9}">
        <x15:connection id="ca8861d4-cef6-4597-9129-92815439f253"/>
      </ext>
    </extLst>
  </connection>
  <connection id="2" xr16:uid="{00000000-0015-0000-FFFF-FFFF01000000}" name="Consulta - Dim_Productos" description="Conexión a la consulta 'Dim_Productos' en el libro." type="100" refreshedVersion="8" minRefreshableVersion="5">
    <extLst>
      <ext xmlns:x15="http://schemas.microsoft.com/office/spreadsheetml/2010/11/main" uri="{DE250136-89BD-433C-8126-D09CA5730AF9}">
        <x15:connection id="f1903093-04ab-48d7-8b35-5cbefaef6607"/>
      </ext>
    </extLst>
  </connection>
  <connection id="3" xr16:uid="{00000000-0015-0000-FFFF-FFFF02000000}" name="Consulta - Dim_Sanatorios" description="Conexión a la consulta 'Dim_Sanatorios' en el libro." type="100" refreshedVersion="8" minRefreshableVersion="5">
    <extLst>
      <ext xmlns:x15="http://schemas.microsoft.com/office/spreadsheetml/2010/11/main" uri="{DE250136-89BD-433C-8126-D09CA5730AF9}">
        <x15:connection id="6ad67b6d-7932-468d-8868-8e29fefedc50"/>
      </ext>
    </extLst>
  </connection>
  <connection id="4" xr16:uid="{00000000-0015-0000-FFFF-FFFF03000000}" name="Consulta - Fact_Transacciones" description="Conexión a la consulta 'Fact_Transacciones' en el libro." type="100" refreshedVersion="8" minRefreshableVersion="5">
    <extLst>
      <ext xmlns:x15="http://schemas.microsoft.com/office/spreadsheetml/2010/11/main" uri="{DE250136-89BD-433C-8126-D09CA5730AF9}">
        <x15:connection id="7c966fa0-6a46-49dd-afa0-57d893f1dafc"/>
      </ext>
    </extLst>
  </connection>
  <connection id="5" xr16:uid="{CA761870-27BC-42C0-AD90-648848AB6675}" keepAlive="1" name="Consulta - Transacciones_Crudas" description="Conexión a la consulta 'Transacciones_Crudas' en el libro." type="5" refreshedVersion="0" background="1">
    <dbPr connection="Provider=Microsoft.Mashup.OleDb.1;Data Source=$Workbook$;Location=Transacciones_Crudas;Extended Properties=" command="SELECT * FROM [Transacciones_Crudas]"/>
  </connection>
  <connection id="6" xr16:uid="{00000000-0015-0000-FFFF-FFFF05000000}"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<sst xmlns="http://schemas.openxmlformats.org/spreadsheetml/2006/main" count="151" uniqueCount="110">
  <si>
    <t>Curaciones</t>
  </si>
  <si>
    <t>Oeste</t>
  </si>
  <si>
    <t>Descartables</t>
  </si>
  <si>
    <t>Este</t>
  </si>
  <si>
    <t>Antisépticos</t>
  </si>
  <si>
    <t>Medicamentos</t>
  </si>
  <si>
    <t>Protección</t>
  </si>
  <si>
    <t>Sur</t>
  </si>
  <si>
    <t>Centro</t>
  </si>
  <si>
    <t>Norte</t>
  </si>
  <si>
    <t>EVALUACIÓN FINANCIERA DEL PROYECTO</t>
  </si>
  <si>
    <t>Supuestos</t>
  </si>
  <si>
    <t>Inversión inicial</t>
  </si>
  <si>
    <t>Tasa anual</t>
  </si>
  <si>
    <t>Plazo del préstamo (meses)</t>
  </si>
  <si>
    <t>Tasa de descuento</t>
  </si>
  <si>
    <t>PAGO mensual</t>
  </si>
  <si>
    <t>FLUJO DE CAJA PROYECTADO</t>
  </si>
  <si>
    <t>Año</t>
  </si>
  <si>
    <t>Flujo de caja</t>
  </si>
  <si>
    <t>Flujo descontado</t>
  </si>
  <si>
    <t>Flujo operativo anual base</t>
  </si>
  <si>
    <t>Crecimiento anual proyectado</t>
  </si>
  <si>
    <t>Servicio anual de deuda</t>
  </si>
  <si>
    <t>VAN del proyecto</t>
  </si>
  <si>
    <t>TIR del proyecto</t>
  </si>
  <si>
    <t>Conclusión</t>
  </si>
  <si>
    <t>El proyecto presenta una VAN positiva y una TIR superior a la tasa de descuento, por lo que resulta financieramente viable bajo los supuestos planteados.</t>
  </si>
  <si>
    <t>Etiquetas de fila</t>
  </si>
  <si>
    <t>Total general</t>
  </si>
  <si>
    <t>Suma de Monto</t>
  </si>
  <si>
    <t>Ventas totales</t>
  </si>
  <si>
    <t>Región con mayor facturación</t>
  </si>
  <si>
    <t>Categoría con mayor facturación</t>
  </si>
  <si>
    <t>Reporte Ejecutivo - Analisis de ventas</t>
  </si>
  <si>
    <t>Análisis interactivo de ventas por región y categoría</t>
  </si>
  <si>
    <t>Monto</t>
  </si>
  <si>
    <t>Media</t>
  </si>
  <si>
    <t>Error típico</t>
  </si>
  <si>
    <t>Mediana</t>
  </si>
  <si>
    <t>Moda</t>
  </si>
  <si>
    <t>Desviación estándar</t>
  </si>
  <si>
    <t>Varianza de la muestra</t>
  </si>
  <si>
    <t>Curtosis</t>
  </si>
  <si>
    <t>Coeficiente de asimetría</t>
  </si>
  <si>
    <t>Rango</t>
  </si>
  <si>
    <t>Mínimo</t>
  </si>
  <si>
    <t>Máximo</t>
  </si>
  <si>
    <t>Suma</t>
  </si>
  <si>
    <t>Cuenta</t>
  </si>
  <si>
    <t>SIMULACIÓN DE UTILIDAD NETA</t>
  </si>
  <si>
    <t>Unidades vendidas</t>
  </si>
  <si>
    <t>Precio unitario</t>
  </si>
  <si>
    <t>Costos variables (%)</t>
  </si>
  <si>
    <t>Envío / logística (%)</t>
  </si>
  <si>
    <t>Costos variables</t>
  </si>
  <si>
    <t>Costos de envío</t>
  </si>
  <si>
    <t>Utilidad neta simulada</t>
  </si>
  <si>
    <t>$B$5</t>
  </si>
  <si>
    <t>$F$4</t>
  </si>
  <si>
    <t>$F$7</t>
  </si>
  <si>
    <t>$F$12</t>
  </si>
  <si>
    <t>Pesimista</t>
  </si>
  <si>
    <t>Creado por Agustin Arevalo el 15/9/2026</t>
  </si>
  <si>
    <t>Base (Actual)</t>
  </si>
  <si>
    <t>Optimista</t>
  </si>
  <si>
    <t>Resumen del escenario</t>
  </si>
  <si>
    <t>Celdas cambiantes:</t>
  </si>
  <si>
    <t>Valores actuales:</t>
  </si>
  <si>
    <t>Celdas de resultado:</t>
  </si>
  <si>
    <t>Notas: La columna de valores actuales representa los valores de las celdas cambiantes</t>
  </si>
  <si>
    <t>en el momento en que se creó el Informe resumen de escenario. Las celdas cambiantes de</t>
  </si>
  <si>
    <t>cada escenario se muestran en gris.</t>
  </si>
  <si>
    <t>Creado por Agustin Arevalo el 15/9/2026
Modificado por Agustin Arevalo el 15/9/2026</t>
  </si>
  <si>
    <t>Totales</t>
  </si>
  <si>
    <t>abril</t>
  </si>
  <si>
    <t>agosto</t>
  </si>
  <si>
    <t>diciembre</t>
  </si>
  <si>
    <t>enero</t>
  </si>
  <si>
    <t>febrero</t>
  </si>
  <si>
    <t>julio</t>
  </si>
  <si>
    <t>junio</t>
  </si>
  <si>
    <t>marzo</t>
  </si>
  <si>
    <t>mayo</t>
  </si>
  <si>
    <t>noviembre</t>
  </si>
  <si>
    <t>octubre</t>
  </si>
  <si>
    <t>septiembre</t>
  </si>
  <si>
    <t>Hospital Municipal San Martín</t>
  </si>
  <si>
    <t>Hospital Municipal Sur</t>
  </si>
  <si>
    <t>Hospital Municipal Villa Libertad</t>
  </si>
  <si>
    <t>Hospital Municipal Este</t>
  </si>
  <si>
    <t>Hospital Municipal Oeste</t>
  </si>
  <si>
    <t>Hospital Municipal Norte</t>
  </si>
  <si>
    <t>Hospital Municipal Parque</t>
  </si>
  <si>
    <t>Hospital Municipal Centro</t>
  </si>
  <si>
    <t>Cantidad Total</t>
  </si>
  <si>
    <t>Sanatorios</t>
  </si>
  <si>
    <t>Cantidad Totales</t>
  </si>
  <si>
    <t>Ventas Totales</t>
  </si>
  <si>
    <t>Region</t>
  </si>
  <si>
    <t>Categoria</t>
  </si>
  <si>
    <t>Crecimiento YoY</t>
  </si>
  <si>
    <t>Precio Promedio Ponderado</t>
  </si>
  <si>
    <t>Precio Promedio</t>
  </si>
  <si>
    <t>KPI</t>
  </si>
  <si>
    <t>Meta</t>
  </si>
  <si>
    <t>Valor Actual</t>
  </si>
  <si>
    <t>DASHBOARD EJECUTIVO DE VENTAS — 2026</t>
  </si>
  <si>
    <t>Distribucion Mayorista</t>
  </si>
  <si>
    <t>Valor actual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</si>
</sst>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6" formatCode="&quot;$&quot;\ #,##0;[Red]\-&quot;$&quot;\ #,##0"/>
    <numFmt numFmtId="8" formatCode="&quot;$&quot;\ #,##0.00;[Red]\-&quot;$&quot;\ #,##0.00"/>
    <numFmt numFmtId="44" formatCode="_-&quot;$&quot;\ * #,##0.00_-;\-&quot;$&quot;\ * #,##0.00_-;_-&quot;$&quot;\ * &quot;-&quot;??_-;_-@_-"/>
    <numFmt numFmtId="164" formatCode="\$\ #,##0.00;\-\$\ #,##0.00;\$\ #,##0.00"/>
    <numFmt numFmtId="165" formatCode="0.00\ %;\-0.00\ %;0.00\ %"/>
    <numFmt numFmtId="168" formatCode="_-&quot;$&quot;\ * #,##0_-;\-&quot;$&quot;\ * #,##0_-;_-&quot;$&quot;\ * &quot;-&quot;??_-;_-@_-"/>
    <numFmt numFmtId="170" formatCode="&quot;$&quot;\ #,##0.00"/>
    <numFmt numFmtId="174" formatCode="&quot;$&quot;\ #,##0"/>
  </numFmts>
  <fonts count="17" x14ac:knownFonts="1">
    <font>
      <sz val="11"/>
      <color theme="1"/>
      <name val="Calibri"/>
      <family val="2"/>
      <scheme val="minor"/>
    </font>
    <font>
      <sz val="11"/>
      <color theme="1"/>
      <name val="Calibri"/>
      <family val="2"/>
      <scheme val="minor"/>
    </font>
    <font>
      <b/>
      <sz val="11"/>
      <color theme="1"/>
      <name val="Calibri"/>
      <family val="2"/>
      <scheme val="minor"/>
    </font>
    <font>
      <b/>
      <sz val="12"/>
      <color theme="0"/>
      <name val="Calibri"/>
      <family val="2"/>
      <scheme val="minor"/>
    </font>
    <font>
      <b/>
      <sz val="14"/>
      <color theme="0"/>
      <name val="Calibri"/>
      <family val="2"/>
      <scheme val="minor"/>
    </font>
    <font>
      <b/>
      <sz val="18"/>
      <color theme="0"/>
      <name val="Calibri"/>
      <family val="2"/>
      <scheme val="minor"/>
    </font>
    <font>
      <b/>
      <i/>
      <sz val="12"/>
      <color theme="1"/>
      <name val="Calibri"/>
      <family val="2"/>
      <scheme val="minor"/>
    </font>
    <font>
      <sz val="11"/>
      <color rgb="FF000000"/>
      <name val="Calibri"/>
      <family val="2"/>
    </font>
    <font>
      <i/>
      <sz val="11"/>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sz val="12"/>
      <color theme="1"/>
      <name val="Calibri"/>
      <family val="2"/>
      <scheme val="minor"/>
    </font>
    <font>
      <b/>
      <sz val="14"/>
      <color theme="1"/>
      <name val="Calibri"/>
      <family val="2"/>
      <scheme val="minor"/>
    </font>
    <font>
      <b/>
      <sz val="16"/>
      <color theme="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4" tint="-0.499984740745262"/>
        <bgColor indexed="64"/>
      </patternFill>
    </fill>
    <fill>
      <patternFill patternType="solid">
        <fgColor theme="0"/>
        <bgColor indexed="64"/>
      </patternFill>
    </fill>
    <fill>
      <patternFill patternType="solid">
        <fgColor theme="8" tint="0.39997558519241921"/>
        <bgColor indexed="64"/>
      </patternFill>
    </fill>
    <fill>
      <patternFill patternType="solid">
        <fgColor theme="6"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98">
    <xf numFmtId="0" fontId="0" fillId="0" borderId="0" xfId="0"/>
    <xf numFmtId="0" fontId="0" fillId="0" borderId="0" xfId="0" applyAlignment="1">
      <alignment vertical="center" wrapText="1"/>
    </xf>
    <xf numFmtId="0" fontId="0" fillId="0" borderId="0" xfId="0" applyAlignment="1">
      <alignment horizontal="center" vertical="center" wrapText="1"/>
    </xf>
    <xf numFmtId="44" fontId="0" fillId="0" borderId="0" xfId="0" applyNumberFormat="1"/>
    <xf numFmtId="0" fontId="0" fillId="0" borderId="0" xfId="0" applyAlignment="1">
      <alignment horizontal="center" vertical="center"/>
    </xf>
    <xf numFmtId="0" fontId="0" fillId="0" borderId="1" xfId="0" applyBorder="1" applyAlignment="1">
      <alignment vertical="center" wrapText="1"/>
    </xf>
    <xf numFmtId="44" fontId="0" fillId="0" borderId="1" xfId="1" applyFont="1" applyBorder="1"/>
    <xf numFmtId="9" fontId="0" fillId="0" borderId="1" xfId="2" applyFont="1" applyBorder="1" applyAlignment="1">
      <alignment vertical="center" wrapText="1"/>
    </xf>
    <xf numFmtId="9" fontId="0" fillId="0" borderId="1" xfId="0" applyNumberFormat="1" applyBorder="1" applyAlignment="1">
      <alignment vertical="center" wrapText="1"/>
    </xf>
    <xf numFmtId="8" fontId="0" fillId="0" borderId="1" xfId="0" applyNumberFormat="1" applyBorder="1" applyAlignment="1">
      <alignment vertical="center" wrapText="1"/>
    </xf>
    <xf numFmtId="0" fontId="0" fillId="0" borderId="1" xfId="0" applyBorder="1" applyAlignment="1">
      <alignment horizontal="center" vertical="center" wrapText="1"/>
    </xf>
    <xf numFmtId="0" fontId="0" fillId="0" borderId="1" xfId="0" applyBorder="1"/>
    <xf numFmtId="0" fontId="0" fillId="0" borderId="1" xfId="0" applyBorder="1" applyAlignment="1">
      <alignment horizontal="center" vertical="center"/>
    </xf>
    <xf numFmtId="44" fontId="0" fillId="0" borderId="1" xfId="0" applyNumberFormat="1" applyBorder="1"/>
    <xf numFmtId="9" fontId="0" fillId="0" borderId="1" xfId="0" applyNumberFormat="1" applyBorder="1"/>
    <xf numFmtId="0" fontId="0" fillId="2" borderId="0" xfId="0" applyFill="1" applyAlignment="1">
      <alignment vertical="center" wrapText="1"/>
    </xf>
    <xf numFmtId="0" fontId="0" fillId="0" borderId="2" xfId="0" applyBorder="1" applyAlignment="1">
      <alignment vertical="center" wrapText="1"/>
    </xf>
    <xf numFmtId="0" fontId="2" fillId="0" borderId="0" xfId="0" applyFont="1" applyBorder="1" applyAlignment="1">
      <alignment horizontal="center" vertical="center" wrapText="1"/>
    </xf>
    <xf numFmtId="0" fontId="0" fillId="0" borderId="0" xfId="0" applyBorder="1" applyAlignment="1">
      <alignment vertical="center" wrapText="1"/>
    </xf>
    <xf numFmtId="0" fontId="0" fillId="0" borderId="3" xfId="0" applyBorder="1" applyAlignment="1">
      <alignment vertical="center" wrapText="1"/>
    </xf>
    <xf numFmtId="0" fontId="0" fillId="0" borderId="0" xfId="0" pivotButton="1"/>
    <xf numFmtId="0" fontId="0" fillId="0" borderId="0" xfId="0" applyAlignment="1">
      <alignment horizontal="left"/>
    </xf>
    <xf numFmtId="0" fontId="3" fillId="3" borderId="1" xfId="0" applyFont="1" applyFill="1" applyBorder="1" applyAlignment="1">
      <alignment horizontal="center" vertical="center"/>
    </xf>
    <xf numFmtId="44" fontId="4" fillId="3" borderId="1" xfId="1" applyFont="1" applyFill="1" applyBorder="1" applyAlignment="1">
      <alignment horizontal="center" vertical="center"/>
    </xf>
    <xf numFmtId="0" fontId="4"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4" fillId="3" borderId="1" xfId="0" applyFont="1" applyFill="1" applyBorder="1" applyAlignment="1">
      <alignment horizontal="center" vertical="center"/>
    </xf>
    <xf numFmtId="0" fontId="2" fillId="0" borderId="0" xfId="0" applyFont="1" applyAlignment="1">
      <alignment horizontal="center" vertical="center" wrapText="1"/>
    </xf>
    <xf numFmtId="0" fontId="0" fillId="0" borderId="0" xfId="0" applyFill="1" applyBorder="1" applyAlignment="1"/>
    <xf numFmtId="0" fontId="0" fillId="0" borderId="5" xfId="0" applyFill="1" applyBorder="1" applyAlignment="1"/>
    <xf numFmtId="0" fontId="0" fillId="0" borderId="6" xfId="0" applyFill="1" applyBorder="1" applyAlignment="1"/>
    <xf numFmtId="0" fontId="8" fillId="0" borderId="7" xfId="0" applyFont="1" applyFill="1" applyBorder="1" applyAlignment="1">
      <alignment horizontal="centerContinuous"/>
    </xf>
    <xf numFmtId="9" fontId="0" fillId="0" borderId="1" xfId="2" applyFont="1" applyBorder="1"/>
    <xf numFmtId="9" fontId="0" fillId="0" borderId="0" xfId="0" applyNumberFormat="1" applyFill="1" applyBorder="1" applyAlignment="1"/>
    <xf numFmtId="44" fontId="0" fillId="0" borderId="5" xfId="0" applyNumberFormat="1" applyFill="1" applyBorder="1" applyAlignment="1"/>
    <xf numFmtId="0" fontId="9" fillId="4" borderId="8" xfId="0" applyFont="1" applyFill="1" applyBorder="1" applyAlignment="1">
      <alignment horizontal="left"/>
    </xf>
    <xf numFmtId="0" fontId="9" fillId="4" borderId="4" xfId="0" applyFont="1" applyFill="1" applyBorder="1" applyAlignment="1">
      <alignment horizontal="left"/>
    </xf>
    <xf numFmtId="0" fontId="10" fillId="5" borderId="0" xfId="0" applyFont="1" applyFill="1" applyBorder="1" applyAlignment="1">
      <alignment horizontal="left"/>
    </xf>
    <xf numFmtId="0" fontId="11" fillId="5" borderId="6" xfId="0" applyFont="1" applyFill="1" applyBorder="1" applyAlignment="1">
      <alignment horizontal="left"/>
    </xf>
    <xf numFmtId="0" fontId="10" fillId="5" borderId="5" xfId="0" applyFont="1" applyFill="1" applyBorder="1" applyAlignment="1">
      <alignment horizontal="left"/>
    </xf>
    <xf numFmtId="0" fontId="12" fillId="4" borderId="4" xfId="0" applyFont="1" applyFill="1" applyBorder="1" applyAlignment="1">
      <alignment horizontal="right"/>
    </xf>
    <xf numFmtId="0" fontId="12" fillId="4" borderId="8" xfId="0" applyFont="1" applyFill="1" applyBorder="1" applyAlignment="1">
      <alignment horizontal="right"/>
    </xf>
    <xf numFmtId="9" fontId="0" fillId="6" borderId="0" xfId="0" applyNumberFormat="1" applyFill="1" applyBorder="1" applyAlignment="1"/>
    <xf numFmtId="0" fontId="0" fillId="6" borderId="0" xfId="0" applyFill="1" applyBorder="1" applyAlignment="1"/>
    <xf numFmtId="0" fontId="13" fillId="0" borderId="0" xfId="0" applyFont="1" applyFill="1" applyBorder="1" applyAlignment="1">
      <alignment vertical="top" wrapText="1"/>
    </xf>
    <xf numFmtId="8" fontId="0" fillId="0" borderId="1" xfId="0" applyNumberFormat="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5" fillId="3" borderId="0" xfId="0" applyFont="1" applyFill="1" applyAlignment="1">
      <alignment horizontal="center" vertical="center"/>
    </xf>
    <xf numFmtId="0" fontId="6" fillId="0" borderId="0" xfId="0" applyFont="1" applyAlignment="1">
      <alignment horizontal="center" vertical="center"/>
    </xf>
    <xf numFmtId="0" fontId="0" fillId="0" borderId="0" xfId="0" applyAlignment="1">
      <alignment horizontal="center"/>
    </xf>
    <xf numFmtId="0" fontId="0" fillId="0" borderId="0" xfId="0" applyAlignment="1">
      <alignment horizontal="center" wrapText="1"/>
    </xf>
    <xf numFmtId="0" fontId="0" fillId="0" borderId="0" xfId="0" applyAlignment="1">
      <alignment horizontal="left" vertical="top" wrapText="1"/>
    </xf>
    <xf numFmtId="0" fontId="15" fillId="9" borderId="0" xfId="0" applyFont="1" applyFill="1" applyAlignment="1">
      <alignment horizontal="center"/>
    </xf>
    <xf numFmtId="0" fontId="16" fillId="7" borderId="0" xfId="0" applyFont="1" applyFill="1" applyAlignment="1">
      <alignment horizontal="center" vertical="center"/>
    </xf>
    <xf numFmtId="0" fontId="14" fillId="8" borderId="0" xfId="0" applyFont="1" applyFill="1" applyBorder="1" applyAlignment="1"/>
    <xf numFmtId="0" fontId="0" fillId="10" borderId="0" xfId="0" applyFill="1"/>
    <xf numFmtId="44" fontId="0" fillId="10" borderId="0" xfId="1" applyFont="1" applyFill="1"/>
    <xf numFmtId="9" fontId="0" fillId="10" borderId="0" xfId="0" applyNumberFormat="1" applyFill="1"/>
    <xf numFmtId="0" fontId="0" fillId="10" borderId="0" xfId="0" applyFont="1" applyFill="1" applyAlignment="1">
      <alignment horizontal="center" vertical="center" wrapText="1"/>
    </xf>
    <xf numFmtId="0" fontId="0" fillId="10" borderId="0" xfId="0" applyFill="1" applyAlignment="1">
      <alignment horizontal="center" wrapText="1"/>
    </xf>
    <xf numFmtId="164" fontId="0" fillId="10" borderId="0" xfId="0" applyNumberFormat="1" applyFill="1"/>
    <xf numFmtId="168" fontId="0" fillId="10" borderId="18" xfId="1" applyNumberFormat="1" applyFont="1" applyFill="1" applyBorder="1" applyAlignment="1">
      <alignment horizontal="center"/>
    </xf>
    <xf numFmtId="168" fontId="0" fillId="10" borderId="20" xfId="1" applyNumberFormat="1" applyFont="1" applyFill="1" applyBorder="1" applyAlignment="1">
      <alignment horizontal="center"/>
    </xf>
    <xf numFmtId="0" fontId="0" fillId="10" borderId="19" xfId="0" applyFill="1" applyBorder="1" applyAlignment="1">
      <alignment horizontal="center"/>
    </xf>
    <xf numFmtId="0" fontId="0" fillId="10" borderId="20" xfId="0" applyFill="1" applyBorder="1" applyAlignment="1">
      <alignment horizontal="center"/>
    </xf>
    <xf numFmtId="0" fontId="0" fillId="10" borderId="24" xfId="0" applyFill="1" applyBorder="1"/>
    <xf numFmtId="174" fontId="0" fillId="10" borderId="3" xfId="1" applyNumberFormat="1" applyFont="1" applyFill="1" applyBorder="1" applyAlignment="1">
      <alignment horizontal="center"/>
    </xf>
    <xf numFmtId="174" fontId="0" fillId="10" borderId="21" xfId="1" applyNumberFormat="1" applyFont="1" applyFill="1" applyBorder="1" applyAlignment="1">
      <alignment horizontal="center"/>
    </xf>
    <xf numFmtId="170" fontId="0" fillId="10" borderId="0" xfId="0" applyNumberFormat="1" applyFill="1" applyBorder="1" applyAlignment="1">
      <alignment horizontal="center"/>
    </xf>
    <xf numFmtId="170" fontId="0" fillId="10" borderId="21" xfId="0" applyNumberFormat="1" applyFill="1" applyBorder="1" applyAlignment="1">
      <alignment horizontal="center"/>
    </xf>
    <xf numFmtId="0" fontId="0" fillId="10" borderId="25" xfId="0" applyFill="1" applyBorder="1"/>
    <xf numFmtId="6" fontId="0" fillId="10" borderId="22" xfId="0" applyNumberFormat="1" applyFill="1" applyBorder="1" applyAlignment="1">
      <alignment horizontal="center"/>
    </xf>
    <xf numFmtId="6" fontId="0" fillId="10" borderId="23" xfId="0" applyNumberFormat="1" applyFill="1" applyBorder="1" applyAlignment="1">
      <alignment horizontal="center"/>
    </xf>
    <xf numFmtId="9" fontId="0" fillId="10" borderId="22" xfId="0" applyNumberFormat="1" applyFill="1" applyBorder="1" applyAlignment="1">
      <alignment horizontal="center"/>
    </xf>
    <xf numFmtId="0" fontId="0" fillId="10" borderId="23" xfId="0" applyFill="1" applyBorder="1" applyAlignment="1">
      <alignment horizontal="center"/>
    </xf>
    <xf numFmtId="44" fontId="0" fillId="10" borderId="8" xfId="0" applyNumberFormat="1" applyFill="1" applyBorder="1" applyAlignment="1">
      <alignment horizontal="center"/>
    </xf>
    <xf numFmtId="168" fontId="0" fillId="10" borderId="0" xfId="1" applyNumberFormat="1" applyFont="1" applyFill="1" applyAlignment="1"/>
    <xf numFmtId="0" fontId="0" fillId="10" borderId="0" xfId="0" applyFill="1" applyAlignment="1">
      <alignment horizontal="left"/>
    </xf>
    <xf numFmtId="0" fontId="0" fillId="10" borderId="0" xfId="0" applyNumberFormat="1" applyFill="1"/>
    <xf numFmtId="0" fontId="0" fillId="10" borderId="0" xfId="0" applyFill="1" applyAlignment="1">
      <alignment horizontal="left" indent="1"/>
    </xf>
    <xf numFmtId="165" fontId="0" fillId="10" borderId="0" xfId="0" applyNumberFormat="1" applyFill="1"/>
    <xf numFmtId="0" fontId="0" fillId="10" borderId="1" xfId="0" applyFill="1" applyBorder="1"/>
    <xf numFmtId="44" fontId="0" fillId="10" borderId="1" xfId="1" applyFont="1" applyFill="1" applyBorder="1"/>
    <xf numFmtId="6" fontId="0" fillId="10" borderId="1" xfId="0" applyNumberFormat="1" applyFill="1" applyBorder="1"/>
    <xf numFmtId="9" fontId="0" fillId="10" borderId="1" xfId="2" applyFont="1" applyFill="1" applyBorder="1"/>
    <xf numFmtId="9" fontId="0" fillId="10" borderId="1" xfId="0" applyNumberFormat="1" applyFill="1" applyBorder="1"/>
    <xf numFmtId="0" fontId="0" fillId="10" borderId="0" xfId="0" applyFill="1" applyAlignment="1">
      <alignment horizontal="center"/>
    </xf>
    <xf numFmtId="0" fontId="14" fillId="10" borderId="0" xfId="0" applyFont="1" applyFill="1" applyBorder="1" applyAlignment="1"/>
    <xf numFmtId="0" fontId="0" fillId="10" borderId="0" xfId="0" applyFill="1" applyAlignment="1">
      <alignment wrapText="1"/>
    </xf>
    <xf numFmtId="0" fontId="0" fillId="10" borderId="0" xfId="0" applyFill="1" applyAlignment="1"/>
  </cellXfs>
  <cellStyles count="3">
    <cellStyle name="Moneda" xfId="1" builtinId="4"/>
    <cellStyle name="Normal" xfId="0" builtinId="0"/>
    <cellStyle name="Porcentaje" xfId="2" builtinId="5"/>
  </cellStyles>
  <dxfs count="89">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9"/>
        </patternFill>
      </fill>
    </dxf>
    <dxf>
      <fill>
        <patternFill>
          <bgColor rgb="FFFF0000"/>
        </patternFill>
      </fill>
    </dxf>
    <dxf>
      <fill>
        <patternFill>
          <bgColor rgb="FFFF0000"/>
        </patternFill>
      </fill>
    </dxf>
    <dxf>
      <fill>
        <patternFill>
          <bgColor theme="9"/>
        </patternFill>
      </fill>
    </dxf>
    <dxf>
      <fill>
        <patternFill>
          <fgColor theme="9"/>
        </patternFill>
      </fill>
    </dxf>
    <dxf>
      <numFmt numFmtId="30" formatCode="@"/>
    </dxf>
    <dxf>
      <fill>
        <patternFill>
          <bgColor theme="9"/>
        </patternFill>
      </fill>
    </dxf>
    <dxf>
      <fill>
        <patternFill>
          <bgColor rgb="FFFF0000"/>
        </patternFill>
      </fill>
    </dxf>
    <dxf>
      <fill>
        <patternFill patternType="solid">
          <bgColor theme="5" tint="0.79998168889431442"/>
        </patternFill>
      </fill>
    </dxf>
    <dxf>
      <fill>
        <patternFill patternType="solid">
          <bgColor theme="5" tint="0.79998168889431442"/>
        </patternFill>
      </fill>
    </dxf>
    <dxf>
      <fill>
        <patternFill patternType="solid">
          <bgColor theme="7" tint="0.39997558519241921"/>
        </patternFill>
      </fill>
    </dxf>
    <dxf>
      <fill>
        <patternFill patternType="solid">
          <bgColor theme="7" tint="0.39997558519241921"/>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9" tint="0.59999389629810485"/>
        </patternFill>
      </fill>
    </dxf>
    <dxf>
      <fill>
        <patternFill patternType="solid">
          <bgColor theme="9" tint="0.59999389629810485"/>
        </patternFill>
      </fill>
    </dxf>
    <dxf>
      <numFmt numFmtId="34" formatCode="_-&quot;$&quot;\ * #,##0.00_-;\-&quot;$&quot;\ * #,##0.00_-;_-&quot;$&quot;\ * &quot;-&quot;??_-;_-@_-"/>
    </dxf>
    <dxf>
      <numFmt numFmtId="34" formatCode="_-&quot;$&quot;\ * #,##0.00_-;\-&quot;$&quot;\ * #,##0.00_-;_-&quot;$&quot;\ * &quot;-&quot;??_-;_-@_-"/>
    </dxf>
  </dxfs>
  <tableStyles count="1" defaultTableStyle="TableStyleMedium2" defaultPivotStyle="PivotStyleLight16">
    <tableStyle name="Invisible" pivot="0" table="0" count="0" xr9:uid="{CF87FE17-D175-4597-AF61-B95C0F03DD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5.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customXml" Target="../customXml/item2.xml"/><Relationship Id="rId11" Type="http://schemas.openxmlformats.org/officeDocument/2006/relationships/pivotCacheDefinition" Target="pivotCache/pivotCacheDefinition4.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10" Type="http://schemas.openxmlformats.org/officeDocument/2006/relationships/pivotCacheDefinition" Target="pivotCache/pivotCacheDefinition3.xml"/><Relationship Id="rId19" Type="http://schemas.microsoft.com/office/2007/relationships/slicerCache" Target="slicerCaches/slicerCache3.xml"/><Relationship Id="rId31" Type="http://schemas.openxmlformats.org/officeDocument/2006/relationships/customXml" Target="../customXml/item4.xml"/><Relationship Id="rId44" Type="http://schemas.openxmlformats.org/officeDocument/2006/relationships/customXml" Target="../customXml/item17.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pivotCacheDefinition" Target="pivotCache/pivotCacheDefinition1.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4.xml"/><Relationship Id="rId41" Type="http://schemas.openxmlformats.org/officeDocument/2006/relationships/customXml" Target="../customXml/item14.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[PreEntrega_ModeloBI_ArevaloAgustinAriel.xlsx.xlsm]Reporte_Ejecutivo!TablaDinámica1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Ventas por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Reporte_Ejecutivo!$B$15</c:f>
              <c:strCache>
                <c:ptCount val="1"/>
                <c:pt idx="0">
                  <c:v>Total</c:v>
                </c:pt>
              </c:strCache>
            </c:strRef>
          </c:tx>
          <c:spPr>
            <a:solidFill>
              <a:schemeClr val="accent1"/>
            </a:solidFill>
            <a:ln>
              <a:noFill/>
            </a:ln>
            <a:effectLst/>
          </c:spPr>
          <c:invertIfNegative val="0"/>
          <c:cat>
            <c:strRef>
              <c:f>Reporte_Ejecutivo!$A$16:$A$21</c:f>
              <c:strCache>
                <c:ptCount val="5"/>
                <c:pt idx="0">
                  <c:v>Centro</c:v>
                </c:pt>
                <c:pt idx="1">
                  <c:v>Este</c:v>
                </c:pt>
                <c:pt idx="2">
                  <c:v>Norte</c:v>
                </c:pt>
                <c:pt idx="3">
                  <c:v>Oeste</c:v>
                </c:pt>
                <c:pt idx="4">
                  <c:v>Sur</c:v>
                </c:pt>
              </c:strCache>
            </c:strRef>
          </c:cat>
          <c:val>
            <c:numRef>
              <c:f>Reporte_Ejecutivo!$B$16:$B$21</c:f>
              <c:numCache>
                <c:formatCode>_("$"* #,##0.00_);_("$"* \(#,##0.00\);_("$"* "-"??_);_(@_)</c:formatCode>
                <c:ptCount val="5"/>
                <c:pt idx="0">
                  <c:v>11052301</c:v>
                </c:pt>
                <c:pt idx="1">
                  <c:v>6778211</c:v>
                </c:pt>
                <c:pt idx="2">
                  <c:v>19698270</c:v>
                </c:pt>
                <c:pt idx="3">
                  <c:v>18054865</c:v>
                </c:pt>
                <c:pt idx="4">
                  <c:v>18144964</c:v>
                </c:pt>
              </c:numCache>
            </c:numRef>
          </c:val>
          <c:extLst>
            <c:ext xmlns:c16="http://schemas.microsoft.com/office/drawing/2014/chart" uri="{C3380CC4-5D6E-409C-BE32-E72D297353CC}">
              <c16:uniqueId val="{00000000-8C78-4437-88F4-89246C5D84DC}"/>
            </c:ext>
          </c:extLst>
        </c:ser>
        <c:dLbls>
          <c:showLegendKey val="0"/>
          <c:showVal val="0"/>
          <c:showCatName val="0"/>
          <c:showSerName val="0"/>
          <c:showPercent val="0"/>
          <c:showBubbleSize val="0"/>
        </c:dLbls>
        <c:gapWidth val="219"/>
        <c:overlap val="-27"/>
        <c:axId val="1665946128"/>
        <c:axId val="1665946544"/>
      </c:barChart>
      <c:catAx>
        <c:axId val="1665946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665946544"/>
        <c:crosses val="autoZero"/>
        <c:auto val="1"/>
        <c:lblAlgn val="ctr"/>
        <c:lblOffset val="100"/>
        <c:noMultiLvlLbl val="0"/>
      </c:catAx>
      <c:valAx>
        <c:axId val="16659465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665946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[PreEntrega_ModeloBI_ArevaloAgustinAriel.xlsx.xlsm]Dashboard_Final!PT_Ventas_Categoria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t>¿Qué categorías explican las ventas?</a:t>
            </a:r>
            <a:endParaRPr lang="es-AR"/>
          </a:p>
        </c:rich>
      </c:tx>
      <c:layout>
        <c:manualLayout>
          <c:xMode val="edge"/>
          <c:yMode val="edge"/>
          <c:x val="0.12852071497859585"/>
          <c:y val="0.1259208975229274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Dashboard_Final!$E$20</c:f>
              <c:strCache>
                <c:ptCount val="1"/>
                <c:pt idx="0">
                  <c:v>Total</c:v>
                </c:pt>
              </c:strCache>
            </c:strRef>
          </c:tx>
          <c:spPr>
            <a:solidFill>
              <a:schemeClr val="accent1"/>
            </a:solidFill>
            <a:ln>
              <a:noFill/>
            </a:ln>
            <a:effectLst/>
          </c:spPr>
          <c:invertIfNegative val="0"/>
          <c:cat>
            <c:strRef>
              <c:f>Dashboard_Final!$D$21:$D$26</c:f>
              <c:strCache>
                <c:ptCount val="5"/>
                <c:pt idx="0">
                  <c:v>Antisépticos</c:v>
                </c:pt>
                <c:pt idx="1">
                  <c:v>Curaciones</c:v>
                </c:pt>
                <c:pt idx="2">
                  <c:v>Descartables</c:v>
                </c:pt>
                <c:pt idx="3">
                  <c:v>Medicamentos</c:v>
                </c:pt>
                <c:pt idx="4">
                  <c:v>Protección</c:v>
                </c:pt>
              </c:strCache>
            </c:strRef>
          </c:cat>
          <c:val>
            <c:numRef>
              <c:f>Dashboard_Final!$E$21:$E$26</c:f>
              <c:numCache>
                <c:formatCode>\$\ #,##0.00;\-\$\ #,##0.00;\$\ #,##0.00</c:formatCode>
                <c:ptCount val="5"/>
                <c:pt idx="0">
                  <c:v>4951380</c:v>
                </c:pt>
                <c:pt idx="1">
                  <c:v>21363858</c:v>
                </c:pt>
                <c:pt idx="2">
                  <c:v>17784747</c:v>
                </c:pt>
                <c:pt idx="3">
                  <c:v>7204994</c:v>
                </c:pt>
                <c:pt idx="4">
                  <c:v>22423632</c:v>
                </c:pt>
              </c:numCache>
            </c:numRef>
          </c:val>
          <c:extLst>
            <c:ext xmlns:c16="http://schemas.microsoft.com/office/drawing/2014/chart" uri="{C3380CC4-5D6E-409C-BE32-E72D297353CC}">
              <c16:uniqueId val="{00000000-898A-4318-A4CB-48536329CA30}"/>
            </c:ext>
          </c:extLst>
        </c:ser>
        <c:dLbls>
          <c:showLegendKey val="0"/>
          <c:showVal val="0"/>
          <c:showCatName val="0"/>
          <c:showSerName val="0"/>
          <c:showPercent val="0"/>
          <c:showBubbleSize val="0"/>
        </c:dLbls>
        <c:gapWidth val="219"/>
        <c:overlap val="-27"/>
        <c:axId val="1180436704"/>
        <c:axId val="1180438144"/>
      </c:barChart>
      <c:catAx>
        <c:axId val="118043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80438144"/>
        <c:crosses val="autoZero"/>
        <c:auto val="1"/>
        <c:lblAlgn val="ctr"/>
        <c:lblOffset val="100"/>
        <c:noMultiLvlLbl val="0"/>
      </c:catAx>
      <c:valAx>
        <c:axId val="1180438144"/>
        <c:scaling>
          <c:orientation val="minMax"/>
        </c:scaling>
        <c:delete val="0"/>
        <c:axPos val="l"/>
        <c:majorGridlines>
          <c:spPr>
            <a:ln w="9525" cap="flat" cmpd="sng" algn="ctr">
              <a:solidFill>
                <a:schemeClr val="tx1">
                  <a:lumMod val="15000"/>
                  <a:lumOff val="85000"/>
                </a:schemeClr>
              </a:solidFill>
              <a:round/>
            </a:ln>
            <a:effectLst/>
          </c:spPr>
        </c:majorGridlines>
        <c:numFmt formatCode="\$\ #,##0.00;\-\$\ #,##0.00;\$\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80436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[PreEntrega_ModeloBI_ArevaloAgustinAriel.xlsx.xlsm]Dashboard_Final!PT_Ventas_Region</c:name>
    <c:fmtId val="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s-AR" sz="1400" b="1" i="0" u="none" strike="noStrike" kern="1200" spc="0" baseline="0">
                <a:solidFill>
                  <a:sysClr val="windowText" lastClr="000000">
                    <a:lumMod val="65000"/>
                    <a:lumOff val="35000"/>
                  </a:sysClr>
                </a:solidFill>
              </a:rPr>
              <a:t>¿Qué regiones concentran la facturación?</a:t>
            </a:r>
            <a:endParaRPr lang="es-AR" sz="1400" b="0" i="0" u="none" strike="noStrike" kern="1200" spc="0" baseline="0">
              <a:solidFill>
                <a:sysClr val="windowText" lastClr="000000">
                  <a:lumMod val="65000"/>
                  <a:lumOff val="35000"/>
                </a:sysClr>
              </a:solidFill>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s-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s-A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Dashboard_Final!$E$28</c:f>
              <c:strCache>
                <c:ptCount val="1"/>
                <c:pt idx="0">
                  <c:v>Totales</c:v>
                </c:pt>
              </c:strCache>
            </c:strRef>
          </c:tx>
          <c:spPr>
            <a:solidFill>
              <a:schemeClr val="accent1"/>
            </a:solidFill>
            <a:ln>
              <a:noFill/>
            </a:ln>
            <a:effectLst/>
          </c:spPr>
          <c:invertIfNegative val="0"/>
          <c:cat>
            <c:strRef>
              <c:f>Dashboard_Final!$D$29:$D$34</c:f>
              <c:strCache>
                <c:ptCount val="5"/>
                <c:pt idx="0">
                  <c:v>Centro</c:v>
                </c:pt>
                <c:pt idx="1">
                  <c:v>Este</c:v>
                </c:pt>
                <c:pt idx="2">
                  <c:v>Norte</c:v>
                </c:pt>
                <c:pt idx="3">
                  <c:v>Oeste</c:v>
                </c:pt>
                <c:pt idx="4">
                  <c:v>Sur</c:v>
                </c:pt>
              </c:strCache>
            </c:strRef>
          </c:cat>
          <c:val>
            <c:numRef>
              <c:f>Dashboard_Final!$E$29:$E$34</c:f>
              <c:numCache>
                <c:formatCode>\$\ #,##0.00;\-\$\ #,##0.00;\$\ #,##0.00</c:formatCode>
                <c:ptCount val="5"/>
                <c:pt idx="0">
                  <c:v>11052301</c:v>
                </c:pt>
                <c:pt idx="1">
                  <c:v>6778211</c:v>
                </c:pt>
                <c:pt idx="2">
                  <c:v>19698270</c:v>
                </c:pt>
                <c:pt idx="3">
                  <c:v>18054865</c:v>
                </c:pt>
                <c:pt idx="4">
                  <c:v>18144964</c:v>
                </c:pt>
              </c:numCache>
            </c:numRef>
          </c:val>
          <c:extLst>
            <c:ext xmlns:c16="http://schemas.microsoft.com/office/drawing/2014/chart" uri="{C3380CC4-5D6E-409C-BE32-E72D297353CC}">
              <c16:uniqueId val="{00000000-56A3-40F6-B2B9-04AF5453960D}"/>
            </c:ext>
          </c:extLst>
        </c:ser>
        <c:ser>
          <c:idx val="1"/>
          <c:order val="1"/>
          <c:tx>
            <c:strRef>
              <c:f>Dashboard_Final!$F$28</c:f>
              <c:strCache>
                <c:ptCount val="1"/>
                <c:pt idx="0">
                  <c:v>Crecimiento YoY</c:v>
                </c:pt>
              </c:strCache>
            </c:strRef>
          </c:tx>
          <c:spPr>
            <a:solidFill>
              <a:schemeClr val="accent2"/>
            </a:solidFill>
            <a:ln>
              <a:noFill/>
            </a:ln>
            <a:effectLst/>
          </c:spPr>
          <c:invertIfNegative val="0"/>
          <c:cat>
            <c:strRef>
              <c:f>Dashboard_Final!$D$29:$D$34</c:f>
              <c:strCache>
                <c:ptCount val="5"/>
                <c:pt idx="0">
                  <c:v>Centro</c:v>
                </c:pt>
                <c:pt idx="1">
                  <c:v>Este</c:v>
                </c:pt>
                <c:pt idx="2">
                  <c:v>Norte</c:v>
                </c:pt>
                <c:pt idx="3">
                  <c:v>Oeste</c:v>
                </c:pt>
                <c:pt idx="4">
                  <c:v>Sur</c:v>
                </c:pt>
              </c:strCache>
            </c:strRef>
          </c:cat>
          <c:val>
            <c:numRef>
              <c:f>Dashboard_Final!$F$29:$F$34</c:f>
              <c:numCache>
                <c:formatCode>0.00\ %;\-0.00\ %;0.00\ %</c:formatCode>
                <c:ptCount val="5"/>
                <c:pt idx="0">
                  <c:v>1.8162014828736703</c:v>
                </c:pt>
                <c:pt idx="1">
                  <c:v>1.481828440619581</c:v>
                </c:pt>
                <c:pt idx="2">
                  <c:v>1.8513781834199365</c:v>
                </c:pt>
                <c:pt idx="3">
                  <c:v>1.9928198308990279</c:v>
                </c:pt>
                <c:pt idx="4">
                  <c:v>2.0272833094003131</c:v>
                </c:pt>
              </c:numCache>
            </c:numRef>
          </c:val>
          <c:extLst>
            <c:ext xmlns:c16="http://schemas.microsoft.com/office/drawing/2014/chart" uri="{C3380CC4-5D6E-409C-BE32-E72D297353CC}">
              <c16:uniqueId val="{00000002-2984-435F-83D4-5B986015FF7A}"/>
            </c:ext>
          </c:extLst>
        </c:ser>
        <c:ser>
          <c:idx val="2"/>
          <c:order val="2"/>
          <c:tx>
            <c:strRef>
              <c:f>Dashboard_Final!$G$28</c:f>
              <c:strCache>
                <c:ptCount val="1"/>
                <c:pt idx="0">
                  <c:v>Precio Promedio Ponderado</c:v>
                </c:pt>
              </c:strCache>
            </c:strRef>
          </c:tx>
          <c:spPr>
            <a:solidFill>
              <a:schemeClr val="accent3"/>
            </a:solidFill>
            <a:ln>
              <a:noFill/>
            </a:ln>
            <a:effectLst/>
          </c:spPr>
          <c:invertIfNegative val="0"/>
          <c:cat>
            <c:strRef>
              <c:f>Dashboard_Final!$D$29:$D$34</c:f>
              <c:strCache>
                <c:ptCount val="5"/>
                <c:pt idx="0">
                  <c:v>Centro</c:v>
                </c:pt>
                <c:pt idx="1">
                  <c:v>Este</c:v>
                </c:pt>
                <c:pt idx="2">
                  <c:v>Norte</c:v>
                </c:pt>
                <c:pt idx="3">
                  <c:v>Oeste</c:v>
                </c:pt>
                <c:pt idx="4">
                  <c:v>Sur</c:v>
                </c:pt>
              </c:strCache>
            </c:strRef>
          </c:cat>
          <c:val>
            <c:numRef>
              <c:f>Dashboard_Final!$G$29:$G$34</c:f>
              <c:numCache>
                <c:formatCode>\$\ #,##0.00;\-\$\ #,##0.00;\$\ #,##0.00</c:formatCode>
                <c:ptCount val="5"/>
                <c:pt idx="0">
                  <c:v>207.20085862657243</c:v>
                </c:pt>
                <c:pt idx="1">
                  <c:v>245.81000906618314</c:v>
                </c:pt>
                <c:pt idx="2">
                  <c:v>249.31994228432563</c:v>
                </c:pt>
                <c:pt idx="3">
                  <c:v>252.64279917161087</c:v>
                </c:pt>
                <c:pt idx="4">
                  <c:v>222.26125088806683</c:v>
                </c:pt>
              </c:numCache>
            </c:numRef>
          </c:val>
          <c:extLst>
            <c:ext xmlns:c16="http://schemas.microsoft.com/office/drawing/2014/chart" uri="{C3380CC4-5D6E-409C-BE32-E72D297353CC}">
              <c16:uniqueId val="{00000003-2984-435F-83D4-5B986015FF7A}"/>
            </c:ext>
          </c:extLst>
        </c:ser>
        <c:dLbls>
          <c:showLegendKey val="0"/>
          <c:showVal val="0"/>
          <c:showCatName val="0"/>
          <c:showSerName val="0"/>
          <c:showPercent val="0"/>
          <c:showBubbleSize val="0"/>
        </c:dLbls>
        <c:gapWidth val="219"/>
        <c:overlap val="-27"/>
        <c:axId val="1180436224"/>
        <c:axId val="1180435744"/>
      </c:barChart>
      <c:catAx>
        <c:axId val="118043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80435744"/>
        <c:crosses val="autoZero"/>
        <c:auto val="1"/>
        <c:lblAlgn val="ctr"/>
        <c:lblOffset val="100"/>
        <c:noMultiLvlLbl val="0"/>
      </c:catAx>
      <c:valAx>
        <c:axId val="1180435744"/>
        <c:scaling>
          <c:orientation val="minMax"/>
        </c:scaling>
        <c:delete val="0"/>
        <c:axPos val="l"/>
        <c:majorGridlines>
          <c:spPr>
            <a:ln w="9525" cap="flat" cmpd="sng" algn="ctr">
              <a:solidFill>
                <a:schemeClr val="tx1">
                  <a:lumMod val="15000"/>
                  <a:lumOff val="85000"/>
                </a:schemeClr>
              </a:solidFill>
              <a:round/>
            </a:ln>
            <a:effectLst/>
          </c:spPr>
        </c:majorGridlines>
        <c:numFmt formatCode="\$\ #,##0.00;\-\$\ #,##0.00;\$\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180436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AR" sz="1400" b="0" i="0" u="none" strike="noStrike" baseline="0"/>
              <a:t>¿Qué sanatorios presentan comportamientos atípicos?</a:t>
            </a:r>
            <a:endParaRPr lang="en-US"/>
          </a:p>
        </c:rich>
      </c:tx>
      <c:layout>
        <c:manualLayout>
          <c:xMode val="edge"/>
          <c:yMode val="edge"/>
          <c:x val="0.23677286449231946"/>
          <c:y val="1.7108225014919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AR"/>
        </a:p>
      </c:txPr>
    </c:title>
    <c:autoTitleDeleted val="0"/>
    <c:plotArea>
      <c:layout/>
      <c:scatterChart>
        <c:scatterStyle val="lineMarker"/>
        <c:varyColors val="0"/>
        <c:ser>
          <c:idx val="0"/>
          <c:order val="0"/>
          <c:tx>
            <c:strRef>
              <c:f>Dashboard_Final!$J$69</c:f>
              <c:strCache>
                <c:ptCount val="1"/>
                <c:pt idx="0">
                  <c:v>Ventas Totales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A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Dashboard_Final!$I$70:$I$77</c:f>
              <c:numCache>
                <c:formatCode>"$"#,##0.00_);[Red]\("$"#,##0.00\)</c:formatCode>
                <c:ptCount val="8"/>
                <c:pt idx="0">
                  <c:v>11052301</c:v>
                </c:pt>
                <c:pt idx="1">
                  <c:v>6778211</c:v>
                </c:pt>
                <c:pt idx="2">
                  <c:v>12536565</c:v>
                </c:pt>
                <c:pt idx="3">
                  <c:v>11400097</c:v>
                </c:pt>
                <c:pt idx="4">
                  <c:v>6654768</c:v>
                </c:pt>
                <c:pt idx="5">
                  <c:v>8315379</c:v>
                </c:pt>
                <c:pt idx="6">
                  <c:v>9829585</c:v>
                </c:pt>
                <c:pt idx="7">
                  <c:v>7161705</c:v>
                </c:pt>
              </c:numCache>
            </c:numRef>
          </c:xVal>
          <c:yVal>
            <c:numRef>
              <c:f>Dashboard_Final!$J$70:$J$77</c:f>
              <c:numCache>
                <c:formatCode>"$"#,##0.00_);[Red]\("$"#,##0.00\)</c:formatCode>
                <c:ptCount val="8"/>
                <c:pt idx="0">
                  <c:v>53341</c:v>
                </c:pt>
                <c:pt idx="1">
                  <c:v>27575</c:v>
                </c:pt>
                <c:pt idx="2">
                  <c:v>51020</c:v>
                </c:pt>
                <c:pt idx="3">
                  <c:v>41896</c:v>
                </c:pt>
                <c:pt idx="4">
                  <c:v>29568</c:v>
                </c:pt>
                <c:pt idx="5">
                  <c:v>37133</c:v>
                </c:pt>
                <c:pt idx="6">
                  <c:v>44505</c:v>
                </c:pt>
                <c:pt idx="7">
                  <c:v>27988</c:v>
                </c:pt>
              </c:numCache>
            </c:numRef>
          </c:yVal>
          <c:smooth val="0"/>
          <c:extLst>
            <c:ext xmlns:c16="http://schemas.microsoft.com/office/drawing/2014/chart" uri="{C3380CC4-5D6E-409C-BE32-E72D297353CC}">
              <c16:uniqueId val="{00000000-4F90-4E6E-9FC3-33162FF12320}"/>
            </c:ext>
          </c:extLst>
        </c:ser>
        <c:dLbls>
          <c:dLblPos val="t"/>
          <c:showLegendKey val="0"/>
          <c:showVal val="1"/>
          <c:showCatName val="0"/>
          <c:showSerName val="0"/>
          <c:showPercent val="0"/>
          <c:showBubbleSize val="0"/>
        </c:dLbls>
        <c:axId val="1809408912"/>
        <c:axId val="1809409872"/>
      </c:scatterChart>
      <c:valAx>
        <c:axId val="180940891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809409872"/>
        <c:crosses val="autoZero"/>
        <c:crossBetween val="midCat"/>
      </c:valAx>
      <c:valAx>
        <c:axId val="1809409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18094089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1</xdr:colOff>
      <xdr:row>6</xdr:row>
      <xdr:rowOff>31751</xdr:rowOff>
    </xdr:from>
    <xdr:to>
      <xdr:col>6</xdr:col>
      <xdr:colOff>338666</xdr:colOff>
      <xdr:row>15</xdr:row>
      <xdr:rowOff>52917</xdr:rowOff>
    </xdr:to>
    <mc:AlternateContent xmlns:mc="http://schemas.openxmlformats.org/markup-compatibility/2006" xmlns:a14="http://schemas.microsoft.com/office/drawing/2010/main">
      <mc:Choice Requires="a14">
        <xdr:graphicFrame macro="">
          <xdr:nvGraphicFramePr>
            <xdr:cNvPr id="2" name="Región">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Región"/>
            </a:graphicData>
          </a:graphic>
        </xdr:graphicFrame>
      </mc:Choice>
      <mc:Fallback xmlns="">
        <xdr:sp macro="" textlink="">
          <xdr:nvSpPr>
            <xdr:cNvPr id="0" name=""/>
            <xdr:cNvSpPr>
              <a:spLocks noTextEdit="1"/>
            </xdr:cNvSpPr>
          </xdr:nvSpPr>
          <xdr:spPr>
            <a:xfrm>
              <a:off x="4677834" y="3016251"/>
              <a:ext cx="1439332" cy="1735666"/>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6</xdr:col>
      <xdr:colOff>359833</xdr:colOff>
      <xdr:row>6</xdr:row>
      <xdr:rowOff>22224</xdr:rowOff>
    </xdr:from>
    <xdr:to>
      <xdr:col>7</xdr:col>
      <xdr:colOff>0</xdr:colOff>
      <xdr:row>15</xdr:row>
      <xdr:rowOff>63499</xdr:rowOff>
    </xdr:to>
    <mc:AlternateContent xmlns:mc="http://schemas.openxmlformats.org/markup-compatibility/2006" xmlns:a14="http://schemas.microsoft.com/office/drawing/2010/main">
      <mc:Choice Requires="a14">
        <xdr:graphicFrame macro="">
          <xdr:nvGraphicFramePr>
            <xdr:cNvPr id="3" name="Categoría">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Categoría"/>
            </a:graphicData>
          </a:graphic>
        </xdr:graphicFrame>
      </mc:Choice>
      <mc:Fallback xmlns="">
        <xdr:sp macro="" textlink="">
          <xdr:nvSpPr>
            <xdr:cNvPr id="0" name=""/>
            <xdr:cNvSpPr>
              <a:spLocks noTextEdit="1"/>
            </xdr:cNvSpPr>
          </xdr:nvSpPr>
          <xdr:spPr>
            <a:xfrm>
              <a:off x="6138333" y="3006724"/>
              <a:ext cx="1344084" cy="175577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250823</xdr:colOff>
      <xdr:row>15</xdr:row>
      <xdr:rowOff>106893</xdr:rowOff>
    </xdr:from>
    <xdr:to>
      <xdr:col>9</xdr:col>
      <xdr:colOff>121707</xdr:colOff>
      <xdr:row>29</xdr:row>
      <xdr:rowOff>183093</xdr:rowOff>
    </xdr:to>
    <xdr:graphicFrame macro="">
      <xdr:nvGraphicFramePr>
        <xdr:cNvPr id="4" name="Gráfico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28575</xdr:rowOff>
        </xdr:from>
        <xdr:to>
          <xdr:col>1</xdr:col>
          <xdr:colOff>390525</xdr:colOff>
          <xdr:row>1</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 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133350</xdr:rowOff>
        </xdr:from>
        <xdr:to>
          <xdr:col>1</xdr:col>
          <xdr:colOff>400050</xdr:colOff>
          <xdr:row>2</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 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xdr:row>
          <xdr:rowOff>161925</xdr:rowOff>
        </xdr:from>
        <xdr:to>
          <xdr:col>1</xdr:col>
          <xdr:colOff>381000</xdr:colOff>
          <xdr:row>2</xdr:row>
          <xdr:rowOff>600075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cs typeface="Calibri"/>
                </a:rPr>
                <a:t>▣ EXPORTAR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1169520</xdr:colOff>
      <xdr:row>3</xdr:row>
      <xdr:rowOff>1931</xdr:rowOff>
    </xdr:from>
    <xdr:to>
      <xdr:col>4</xdr:col>
      <xdr:colOff>874245</xdr:colOff>
      <xdr:row>12</xdr:row>
      <xdr:rowOff>1931</xdr:rowOff>
    </xdr:to>
    <mc:AlternateContent xmlns:mc="http://schemas.openxmlformats.org/markup-compatibility/2006">
      <mc:Choice xmlns:a14="http://schemas.microsoft.com/office/drawing/2010/main" Requires="a14">
        <xdr:graphicFrame macro="">
          <xdr:nvGraphicFramePr>
            <xdr:cNvPr id="2" name="Región 1">
              <a:extLst>
                <a:ext uri="{FF2B5EF4-FFF2-40B4-BE49-F238E27FC236}">
                  <a16:creationId xmlns:a16="http://schemas.microsoft.com/office/drawing/2014/main" id="{3502A04A-87CB-76F3-B9CD-6CDE27C78ADD}"/>
                </a:ext>
              </a:extLst>
            </xdr:cNvPr>
            <xdr:cNvGraphicFramePr/>
          </xdr:nvGraphicFramePr>
          <xdr:xfrm>
            <a:off x="0" y="0"/>
            <a:ext cx="0" cy="0"/>
          </xdr:xfrm>
          <a:graphic>
            <a:graphicData uri="http://schemas.microsoft.com/office/drawing/2010/slicer">
              <sle:slicer xmlns:sle="http://schemas.microsoft.com/office/drawing/2010/slicer" name="Región 1"/>
            </a:graphicData>
          </a:graphic>
        </xdr:graphicFrame>
      </mc:Choice>
      <mc:Fallback>
        <xdr:sp macro="" textlink="">
          <xdr:nvSpPr>
            <xdr:cNvPr id="0" name=""/>
            <xdr:cNvSpPr>
              <a:spLocks noTextEdit="1"/>
            </xdr:cNvSpPr>
          </xdr:nvSpPr>
          <xdr:spPr>
            <a:xfrm>
              <a:off x="3614270" y="636931"/>
              <a:ext cx="1831975" cy="1714500"/>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38536</xdr:colOff>
      <xdr:row>3</xdr:row>
      <xdr:rowOff>23719</xdr:rowOff>
    </xdr:from>
    <xdr:to>
      <xdr:col>2</xdr:col>
      <xdr:colOff>613884</xdr:colOff>
      <xdr:row>12</xdr:row>
      <xdr:rowOff>33618</xdr:rowOff>
    </xdr:to>
    <mc:AlternateContent xmlns:mc="http://schemas.openxmlformats.org/markup-compatibility/2006">
      <mc:Choice xmlns:a14="http://schemas.microsoft.com/office/drawing/2010/main" Requires="a14">
        <xdr:graphicFrame macro="">
          <xdr:nvGraphicFramePr>
            <xdr:cNvPr id="3" name="Categoría 1">
              <a:extLst>
                <a:ext uri="{FF2B5EF4-FFF2-40B4-BE49-F238E27FC236}">
                  <a16:creationId xmlns:a16="http://schemas.microsoft.com/office/drawing/2014/main" id="{AEF10D11-D6D3-E4B4-A4D3-EDD0F21339EF}"/>
                </a:ext>
              </a:extLst>
            </xdr:cNvPr>
            <xdr:cNvGraphicFramePr/>
          </xdr:nvGraphicFramePr>
          <xdr:xfrm>
            <a:off x="0" y="0"/>
            <a:ext cx="0" cy="0"/>
          </xdr:xfrm>
          <a:graphic>
            <a:graphicData uri="http://schemas.microsoft.com/office/drawing/2010/slicer">
              <sle:slicer xmlns:sle="http://schemas.microsoft.com/office/drawing/2010/slicer" name="Categoría 1"/>
            </a:graphicData>
          </a:graphic>
        </xdr:graphicFrame>
      </mc:Choice>
      <mc:Fallback>
        <xdr:sp macro="" textlink="">
          <xdr:nvSpPr>
            <xdr:cNvPr id="0" name=""/>
            <xdr:cNvSpPr>
              <a:spLocks noTextEdit="1"/>
            </xdr:cNvSpPr>
          </xdr:nvSpPr>
          <xdr:spPr>
            <a:xfrm>
              <a:off x="1213286" y="658719"/>
              <a:ext cx="1845348" cy="1724399"/>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1157382</xdr:colOff>
      <xdr:row>3</xdr:row>
      <xdr:rowOff>16748</xdr:rowOff>
    </xdr:from>
    <xdr:to>
      <xdr:col>6</xdr:col>
      <xdr:colOff>364270</xdr:colOff>
      <xdr:row>7</xdr:row>
      <xdr:rowOff>121523</xdr:rowOff>
    </xdr:to>
    <mc:AlternateContent xmlns:mc="http://schemas.openxmlformats.org/markup-compatibility/2006">
      <mc:Choice xmlns:a14="http://schemas.microsoft.com/office/drawing/2010/main" Requires="a14">
        <xdr:graphicFrame macro="">
          <xdr:nvGraphicFramePr>
            <xdr:cNvPr id="4" name="Año">
              <a:extLst>
                <a:ext uri="{FF2B5EF4-FFF2-40B4-BE49-F238E27FC236}">
                  <a16:creationId xmlns:a16="http://schemas.microsoft.com/office/drawing/2014/main" id="{6F271876-BDA7-1769-919E-39082805EDF9}"/>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dr:sp macro="" textlink="">
          <xdr:nvSpPr>
            <xdr:cNvPr id="0" name=""/>
            <xdr:cNvSpPr>
              <a:spLocks noTextEdit="1"/>
            </xdr:cNvSpPr>
          </xdr:nvSpPr>
          <xdr:spPr>
            <a:xfrm>
              <a:off x="5729382" y="651748"/>
              <a:ext cx="1810388" cy="866775"/>
            </a:xfrm>
            <a:prstGeom prst="rect">
              <a:avLst/>
            </a:prstGeom>
            <a:solidFill>
              <a:prstClr val="white"/>
            </a:solidFill>
            <a:ln w="1">
              <a:solidFill>
                <a:prstClr val="green"/>
              </a:solidFill>
            </a:ln>
          </xdr:spPr>
          <xdr:txBody>
            <a:bodyPr vertOverflow="clip" horzOverflow="clip"/>
            <a:lstStyle/>
            <a:p>
              <a:r>
                <a:rPr lang="es-AR"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7</xdr:col>
      <xdr:colOff>142875</xdr:colOff>
      <xdr:row>3</xdr:row>
      <xdr:rowOff>72837</xdr:rowOff>
    </xdr:from>
    <xdr:to>
      <xdr:col>11</xdr:col>
      <xdr:colOff>1012031</xdr:colOff>
      <xdr:row>23</xdr:row>
      <xdr:rowOff>166687</xdr:rowOff>
    </xdr:to>
    <xdr:graphicFrame macro="">
      <xdr:nvGraphicFramePr>
        <xdr:cNvPr id="8" name="Gráfico 7">
          <a:extLst>
            <a:ext uri="{FF2B5EF4-FFF2-40B4-BE49-F238E27FC236}">
              <a16:creationId xmlns:a16="http://schemas.microsoft.com/office/drawing/2014/main" id="{5A74C9D4-A479-0092-A11A-FECE3A614E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104214</xdr:colOff>
      <xdr:row>23</xdr:row>
      <xdr:rowOff>107156</xdr:rowOff>
    </xdr:from>
    <xdr:to>
      <xdr:col>11</xdr:col>
      <xdr:colOff>964407</xdr:colOff>
      <xdr:row>42</xdr:row>
      <xdr:rowOff>130969</xdr:rowOff>
    </xdr:to>
    <xdr:graphicFrame macro="">
      <xdr:nvGraphicFramePr>
        <xdr:cNvPr id="9" name="Gráfico 8">
          <a:extLst>
            <a:ext uri="{FF2B5EF4-FFF2-40B4-BE49-F238E27FC236}">
              <a16:creationId xmlns:a16="http://schemas.microsoft.com/office/drawing/2014/main" id="{477852DF-6ED4-7888-1608-208A0FD254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1254142</xdr:colOff>
      <xdr:row>42</xdr:row>
      <xdr:rowOff>185393</xdr:rowOff>
    </xdr:from>
    <xdr:to>
      <xdr:col>11</xdr:col>
      <xdr:colOff>1008529</xdr:colOff>
      <xdr:row>66</xdr:row>
      <xdr:rowOff>67391</xdr:rowOff>
    </xdr:to>
    <xdr:graphicFrame macro="">
      <xdr:nvGraphicFramePr>
        <xdr:cNvPr id="12" name="Gráfico 11">
          <a:extLst>
            <a:ext uri="{FF2B5EF4-FFF2-40B4-BE49-F238E27FC236}">
              <a16:creationId xmlns:a16="http://schemas.microsoft.com/office/drawing/2014/main" id="{EC621735-7C0A-2B7E-805F-95C526DC2A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12</xdr:col>
      <xdr:colOff>35719</xdr:colOff>
      <xdr:row>3</xdr:row>
      <xdr:rowOff>178436</xdr:rowOff>
    </xdr:from>
    <xdr:ext cx="6667500" cy="8560751"/>
    <xdr:sp macro="" textlink="">
      <xdr:nvSpPr>
        <xdr:cNvPr id="5" name="CuadroTexto 4">
          <a:extLst>
            <a:ext uri="{FF2B5EF4-FFF2-40B4-BE49-F238E27FC236}">
              <a16:creationId xmlns:a16="http://schemas.microsoft.com/office/drawing/2014/main" id="{EAB64478-CF28-8CBC-D730-F0570957B76C}"/>
            </a:ext>
          </a:extLst>
        </xdr:cNvPr>
        <xdr:cNvSpPr txBox="1"/>
      </xdr:nvSpPr>
      <xdr:spPr>
        <a:xfrm>
          <a:off x="16037719" y="797561"/>
          <a:ext cx="6667500" cy="8560751"/>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AR" sz="1400" b="1">
              <a:latin typeface="Arial" panose="020B0604020202020204" pitchFamily="34" charset="0"/>
              <a:cs typeface="Arial" panose="020B0604020202020204" pitchFamily="34" charset="0"/>
            </a:rPr>
            <a:t>Conclusión 1 — Evolución de las ventas</a:t>
          </a:r>
        </a:p>
        <a:p>
          <a:r>
            <a:rPr lang="es-AR" sz="1400">
              <a:latin typeface="Arial" panose="020B0604020202020204" pitchFamily="34" charset="0"/>
              <a:cs typeface="Arial" panose="020B0604020202020204" pitchFamily="34" charset="0"/>
            </a:rPr>
            <a:t>Las ventas presentan un crecimiento interanual significativo, con un incremento del 188,11% respecto del período anterior. Este resultado indica una evolución positiva del volumen de ventas analizado. Sin embargo, el crecimiento porcentual debe interpretarse considerando la base de comparación, ya que un porcentaje elevado puede estar influenciado por un nivel de ventas relativamente bajo en el período anterior.</a:t>
          </a:r>
        </a:p>
        <a:p>
          <a:endParaRPr lang="es-AR" sz="1400">
            <a:latin typeface="Arial" panose="020B0604020202020204" pitchFamily="34" charset="0"/>
            <a:cs typeface="Arial" panose="020B0604020202020204" pitchFamily="34" charset="0"/>
          </a:endParaRPr>
        </a:p>
        <a:p>
          <a:r>
            <a:rPr lang="es-AR" sz="1400" b="1">
              <a:latin typeface="Arial" panose="020B0604020202020204" pitchFamily="34" charset="0"/>
              <a:cs typeface="Arial" panose="020B0604020202020204" pitchFamily="34" charset="0"/>
            </a:rPr>
            <a:t>Conclusión 2 — Distribución regional</a:t>
          </a:r>
        </a:p>
        <a:p>
          <a:r>
            <a:rPr lang="es-AR" sz="1400">
              <a:latin typeface="Arial" panose="020B0604020202020204" pitchFamily="34" charset="0"/>
              <a:cs typeface="Arial" panose="020B0604020202020204" pitchFamily="34" charset="0"/>
            </a:rPr>
            <a:t>La facturación se encuentra concentrada principalmente en las regiones Norte, Oeste y Sur, que en conjunto representan aproximadamente el 75,8% de las ventas totales. Esta distribución permite identificar a estas regiones como las principales contribuyentes a la facturación observada. No obstante, la concentración por región no permite determinar por sí sola las causas de esta diferencia, por lo que sería necesario analizar variables adicionales como cantidad de clientes, volumen de prestaciones y composición de los servicios.</a:t>
          </a:r>
        </a:p>
        <a:p>
          <a:endParaRPr lang="es-AR" sz="1400">
            <a:latin typeface="Arial" panose="020B0604020202020204" pitchFamily="34" charset="0"/>
            <a:cs typeface="Arial" panose="020B0604020202020204" pitchFamily="34" charset="0"/>
          </a:endParaRPr>
        </a:p>
        <a:p>
          <a:r>
            <a:rPr lang="es-AR" sz="1400" b="1">
              <a:latin typeface="Arial" panose="020B0604020202020204" pitchFamily="34" charset="0"/>
              <a:cs typeface="Arial" panose="020B0604020202020204" pitchFamily="34" charset="0"/>
            </a:rPr>
            <a:t>Conclusión 3 — Comportamientos atípicos</a:t>
          </a:r>
        </a:p>
        <a:p>
          <a:r>
            <a:rPr lang="es-AR" sz="1400">
              <a:latin typeface="Arial" panose="020B0604020202020204" pitchFamily="34" charset="0"/>
              <a:cs typeface="Arial" panose="020B0604020202020204" pitchFamily="34" charset="0"/>
            </a:rPr>
            <a:t>El análisis de ventas y cantidades permite identificar determinados sanatorios que presentan valores alejados del comportamiento general. Estos casos pueden representar oportunidades para profundizar el análisis, pero no deben interpretarse automáticamente como problemas o anomalías. Las diferencias pueden estar asociadas a factores como tamaño del establecimiento, cantidad de pacientes, tipo de prestaciones, ubicación geográfica o composición de la facturación.</a:t>
          </a:r>
        </a:p>
        <a:p>
          <a:endParaRPr lang="es-AR" sz="1400">
            <a:latin typeface="Arial" panose="020B0604020202020204" pitchFamily="34" charset="0"/>
            <a:cs typeface="Arial" panose="020B0604020202020204" pitchFamily="34" charset="0"/>
          </a:endParaRPr>
        </a:p>
        <a:p>
          <a:r>
            <a:rPr lang="es-AR" sz="1400" b="1">
              <a:latin typeface="Arial" panose="020B0604020202020204" pitchFamily="34" charset="0"/>
              <a:cs typeface="Arial" panose="020B0604020202020204" pitchFamily="34" charset="0"/>
            </a:rPr>
            <a:t>Aclaración metodológica</a:t>
          </a:r>
        </a:p>
        <a:p>
          <a:r>
            <a:rPr lang="es-AR" sz="1400">
              <a:latin typeface="Arial" panose="020B0604020202020204" pitchFamily="34" charset="0"/>
              <a:cs typeface="Arial" panose="020B0604020202020204" pitchFamily="34" charset="0"/>
            </a:rPr>
            <a:t>El gráfico de dispersión relaciona las </a:t>
          </a:r>
          <a:r>
            <a:rPr lang="es-AR" sz="1400" b="1">
              <a:latin typeface="Arial" panose="020B0604020202020204" pitchFamily="34" charset="0"/>
              <a:cs typeface="Arial" panose="020B0604020202020204" pitchFamily="34" charset="0"/>
            </a:rPr>
            <a:t>Ventas Totales</a:t>
          </a:r>
          <a:r>
            <a:rPr lang="es-AR" sz="1400">
              <a:latin typeface="Arial" panose="020B0604020202020204" pitchFamily="34" charset="0"/>
              <a:cs typeface="Arial" panose="020B0604020202020204" pitchFamily="34" charset="0"/>
            </a:rPr>
            <a:t> con la </a:t>
          </a:r>
          <a:r>
            <a:rPr lang="es-AR" sz="1400" b="1">
              <a:latin typeface="Arial" panose="020B0604020202020204" pitchFamily="34" charset="0"/>
              <a:cs typeface="Arial" panose="020B0604020202020204" pitchFamily="34" charset="0"/>
            </a:rPr>
            <a:t>Cantidad Total</a:t>
          </a:r>
          <a:r>
            <a:rPr lang="es-AR" sz="1400">
              <a:latin typeface="Arial" panose="020B0604020202020204" pitchFamily="34" charset="0"/>
              <a:cs typeface="Arial" panose="020B0604020202020204" pitchFamily="34" charset="0"/>
            </a:rPr>
            <a:t> para cada sanatorio, con el objetivo de identificar establecimientos que presentan comportamientos diferenciados respecto del conjunto analizado.</a:t>
          </a:r>
        </a:p>
        <a:p>
          <a:r>
            <a:rPr lang="es-AR" sz="1400">
              <a:latin typeface="Arial" panose="020B0604020202020204" pitchFamily="34" charset="0"/>
              <a:cs typeface="Arial" panose="020B0604020202020204" pitchFamily="34" charset="0"/>
            </a:rPr>
            <a:t>Los puntos alejados de la concentración principal se consideran </a:t>
          </a:r>
          <a:r>
            <a:rPr lang="es-AR" sz="1400" b="1">
              <a:latin typeface="Arial" panose="020B0604020202020204" pitchFamily="34" charset="0"/>
              <a:cs typeface="Arial" panose="020B0604020202020204" pitchFamily="34" charset="0"/>
            </a:rPr>
            <a:t>casos que requieren análisis adicional</a:t>
          </a:r>
          <a:r>
            <a:rPr lang="es-AR" sz="1400">
              <a:latin typeface="Arial" panose="020B0604020202020204" pitchFamily="34" charset="0"/>
              <a:cs typeface="Arial" panose="020B0604020202020204" pitchFamily="34" charset="0"/>
            </a:rPr>
            <a:t>, pero no necesariamente representan errores, problemas de gestión o anomalías.</a:t>
          </a:r>
        </a:p>
        <a:p>
          <a:r>
            <a:rPr lang="es-AR" sz="1400">
              <a:latin typeface="Arial" panose="020B0604020202020204" pitchFamily="34" charset="0"/>
              <a:cs typeface="Arial" panose="020B0604020202020204" pitchFamily="34" charset="0"/>
            </a:rPr>
            <a:t>La interpretación debe realizarse considerando que variables como el tamaño del sanatorio, cantidad de pacientes, tipo de prestación, ubicación geográfica y composición de los servicios pueden explicar parte de las diferencias observadas.</a:t>
          </a:r>
        </a:p>
        <a:p>
          <a:r>
            <a:rPr lang="es-AR" sz="1400">
              <a:latin typeface="Arial" panose="020B0604020202020204" pitchFamily="34" charset="0"/>
              <a:cs typeface="Arial" panose="020B0604020202020204" pitchFamily="34" charset="0"/>
            </a:rPr>
            <a:t>Por lo tanto, el gráfico se utiliza como herramienta exploratoria para detectar patrones y posibles valores atípicos, y no como evidencia suficiente para establecer relaciones causales.</a:t>
          </a:r>
        </a:p>
        <a:p>
          <a:endParaRPr lang="es-AR"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7</xdr:col>
      <xdr:colOff>609600</xdr:colOff>
      <xdr:row>0</xdr:row>
      <xdr:rowOff>0</xdr:rowOff>
    </xdr:from>
    <xdr:ext cx="6362700" cy="13258800"/>
    <xdr:sp macro="" textlink="">
      <xdr:nvSpPr>
        <xdr:cNvPr id="2" name="CuadroTexto 1">
          <a:extLst>
            <a:ext uri="{FF2B5EF4-FFF2-40B4-BE49-F238E27FC236}">
              <a16:creationId xmlns:a16="http://schemas.microsoft.com/office/drawing/2014/main" id="{BD2846D0-2B59-9A60-1BF1-4BBFD7EAF436}"/>
            </a:ext>
          </a:extLst>
        </xdr:cNvPr>
        <xdr:cNvSpPr txBox="1"/>
      </xdr:nvSpPr>
      <xdr:spPr>
        <a:xfrm>
          <a:off x="5981700" y="0"/>
          <a:ext cx="6362700" cy="13258800"/>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AR" sz="1100"/>
            <a:t>          </a:t>
          </a:r>
          <a:r>
            <a:rPr lang="es-AR" sz="1800" b="1"/>
            <a:t>Abogado del diablo</a:t>
          </a:r>
          <a:endParaRPr lang="es-AR" sz="1100" b="1"/>
        </a:p>
        <a:p>
          <a:endParaRPr lang="es-AR" sz="1100"/>
        </a:p>
        <a:p>
          <a:r>
            <a:rPr lang="es-AR" sz="1100"/>
            <a:t>Conclusión analizada 1 — Crecimiento de ventas</a:t>
          </a:r>
        </a:p>
        <a:p>
          <a:endParaRPr lang="es-AR" sz="1100"/>
        </a:p>
        <a:p>
          <a:r>
            <a:rPr lang="es-AR" sz="1100"/>
            <a:t>*Interpretación inicial:*</a:t>
          </a:r>
        </a:p>
        <a:p>
          <a:r>
            <a:rPr lang="es-AR" sz="1100"/>
            <a:t>Las ventas crecieron un 188,11% interanual, lo que podría interpretarse como una mejora significativa del desempeño.</a:t>
          </a:r>
        </a:p>
        <a:p>
          <a:endParaRPr lang="es-AR" sz="1100"/>
        </a:p>
        <a:p>
          <a:r>
            <a:rPr lang="es-AR" sz="1100"/>
            <a:t>*Cuestionamiento:*</a:t>
          </a:r>
        </a:p>
        <a:p>
          <a:r>
            <a:rPr lang="es-AR" sz="1100"/>
            <a:t>El crecimiento porcentual no necesariamente implica una mejora equivalente en términos absolutos. El resultado puede estar condicionado por una base de comparación pequeña en el período anterior.</a:t>
          </a:r>
        </a:p>
        <a:p>
          <a:endParaRPr lang="es-AR" sz="1100"/>
        </a:p>
        <a:p>
          <a:r>
            <a:rPr lang="es-AR" sz="1100"/>
            <a:t>*Variables que podrían estar influyendo:*</a:t>
          </a:r>
        </a:p>
        <a:p>
          <a:endParaRPr lang="es-AR" sz="1100"/>
        </a:p>
        <a:p>
          <a:r>
            <a:rPr lang="es-AR" sz="1100"/>
            <a:t>-Diferencia en la cantidad de períodos comparados.</a:t>
          </a:r>
        </a:p>
        <a:p>
          <a:r>
            <a:rPr lang="es-AR" sz="1100"/>
            <a:t>-Cambios en la cantidad de clientes o prestaciones.</a:t>
          </a:r>
        </a:p>
        <a:p>
          <a:r>
            <a:rPr lang="es-AR" sz="1100"/>
            <a:t>-Modificaciones en los precios.</a:t>
          </a:r>
        </a:p>
        <a:p>
          <a:r>
            <a:rPr lang="es-AR" sz="1100"/>
            <a:t>-Cambios en la composición de los servicios.</a:t>
          </a:r>
        </a:p>
        <a:p>
          <a:r>
            <a:rPr lang="es-AR" sz="1100"/>
            <a:t>-Valores excepcionalmente bajos en el período anterior.</a:t>
          </a:r>
        </a:p>
        <a:p>
          <a:endParaRPr lang="es-AR" sz="1100"/>
        </a:p>
        <a:p>
          <a:r>
            <a:rPr lang="es-AR" sz="1100"/>
            <a:t>*Conclusión refinada:*</a:t>
          </a:r>
        </a:p>
        <a:p>
          <a:r>
            <a:rPr lang="es-AR" sz="1100"/>
            <a:t>El crecimiento interanual es significativo, pero se requiere analizar el volumen absoluto, la evolución mensual y los factores que explican el cambio antes de atribuirlo exclusivamente a una mejora del desempeño.</a:t>
          </a:r>
        </a:p>
        <a:p>
          <a:endParaRPr lang="es-AR" sz="1100"/>
        </a:p>
        <a:p>
          <a:r>
            <a:rPr lang="es-AR" sz="1100"/>
            <a:t>---</a:t>
          </a:r>
        </a:p>
        <a:p>
          <a:endParaRPr lang="es-AR" sz="1100"/>
        </a:p>
        <a:p>
          <a:r>
            <a:rPr lang="es-AR" sz="1100"/>
            <a:t>Conclusión analizada 2 — Concentración regional</a:t>
          </a:r>
        </a:p>
        <a:p>
          <a:endParaRPr lang="es-AR" sz="1100"/>
        </a:p>
        <a:p>
          <a:r>
            <a:rPr lang="es-AR" sz="1100"/>
            <a:t>*Interpretación inicial:*</a:t>
          </a:r>
        </a:p>
        <a:p>
          <a:r>
            <a:rPr lang="es-AR" sz="1100"/>
            <a:t>Norte, Oeste y Sur concentran aproximadamente el 75,8% de las ventas.</a:t>
          </a:r>
        </a:p>
        <a:p>
          <a:endParaRPr lang="es-AR" sz="1100"/>
        </a:p>
        <a:p>
          <a:r>
            <a:rPr lang="es-AR" sz="1100"/>
            <a:t>*Cuestionamiento:*</a:t>
          </a:r>
        </a:p>
        <a:p>
          <a:r>
            <a:rPr lang="es-AR" sz="1100"/>
            <a:t>Una mayor facturación regional no significa necesariamente que esas regiones tengan un mejor desempeño. La diferencia podría explicarse simplemente por una mayor cantidad de sanatorios, pacientes o prestaciones.</a:t>
          </a:r>
        </a:p>
        <a:p>
          <a:endParaRPr lang="es-AR" sz="1100"/>
        </a:p>
        <a:p>
          <a:r>
            <a:rPr lang="es-AR" sz="1100"/>
            <a:t>*Variables que podrían estar influyendo:*</a:t>
          </a:r>
        </a:p>
        <a:p>
          <a:endParaRPr lang="es-AR" sz="1100"/>
        </a:p>
        <a:p>
          <a:r>
            <a:rPr lang="es-AR" sz="1100"/>
            <a:t>-Cantidad de establecimientos por región.</a:t>
          </a:r>
        </a:p>
        <a:p>
          <a:r>
            <a:rPr lang="es-AR" sz="1100"/>
            <a:t>-Cantidad de pacientes.</a:t>
          </a:r>
        </a:p>
        <a:p>
          <a:r>
            <a:rPr lang="es-AR" sz="1100"/>
            <a:t>-Cantidad de prestaciones.</a:t>
          </a:r>
        </a:p>
        <a:p>
          <a:r>
            <a:rPr lang="es-AR" sz="1100"/>
            <a:t>-Tamaño promedio de los sanatorios.</a:t>
          </a:r>
        </a:p>
        <a:p>
          <a:r>
            <a:rPr lang="es-AR" sz="1100"/>
            <a:t>-Diferencias en los precios o tipos de servicios.</a:t>
          </a:r>
        </a:p>
        <a:p>
          <a:endParaRPr lang="es-AR" sz="1100"/>
        </a:p>
        <a:p>
          <a:r>
            <a:rPr lang="es-AR" sz="1100"/>
            <a:t>*Conclusión refinada:*</a:t>
          </a:r>
        </a:p>
        <a:p>
          <a:r>
            <a:rPr lang="es-AR" sz="1100"/>
            <a:t>Existe una concentración de la facturación en determinadas regiones, pero para evaluar su desempeño relativo sería necesario comparar las ventas con indicadores de volumen y cantidad de establecimientos.</a:t>
          </a:r>
        </a:p>
        <a:p>
          <a:endParaRPr lang="es-AR" sz="1100"/>
        </a:p>
        <a:p>
          <a:r>
            <a:rPr lang="es-AR" sz="1100"/>
            <a:t>---</a:t>
          </a:r>
        </a:p>
        <a:p>
          <a:endParaRPr lang="es-AR" sz="1100"/>
        </a:p>
        <a:p>
          <a:r>
            <a:rPr lang="es-AR" sz="1100"/>
            <a:t>Conclusión analizada 3 — Comportamientos atípicos</a:t>
          </a:r>
        </a:p>
        <a:p>
          <a:endParaRPr lang="es-AR" sz="1100"/>
        </a:p>
        <a:p>
          <a:r>
            <a:rPr lang="es-AR" sz="1100"/>
            <a:t>*Interpretación inicial:*</a:t>
          </a:r>
        </a:p>
        <a:p>
          <a:r>
            <a:rPr lang="es-AR" sz="1100"/>
            <a:t>Algunos sanatorios presentan valores alejados del comportamiento general en la relación entre ventas y cantidad.</a:t>
          </a:r>
        </a:p>
        <a:p>
          <a:endParaRPr lang="es-AR" sz="1100"/>
        </a:p>
        <a:p>
          <a:r>
            <a:rPr lang="es-AR" sz="1100"/>
            <a:t>*Cuestionamiento:*</a:t>
          </a:r>
        </a:p>
        <a:p>
          <a:r>
            <a:rPr lang="es-AR" sz="1100"/>
            <a:t>Un punto alejado del resto no necesariamente constituye una anomalía. Puede corresponder a un establecimiento de mayor tamaño o a una composición de servicios diferente.</a:t>
          </a:r>
        </a:p>
        <a:p>
          <a:endParaRPr lang="es-AR" sz="1100"/>
        </a:p>
        <a:p>
          <a:r>
            <a:rPr lang="es-AR" sz="1100"/>
            <a:t>*Variables que podrían estar influyendo:*</a:t>
          </a:r>
        </a:p>
        <a:p>
          <a:endParaRPr lang="es-AR" sz="1100"/>
        </a:p>
        <a:p>
          <a:r>
            <a:rPr lang="es-AR" sz="1100"/>
            <a:t>-Tamaño del establecimiento.</a:t>
          </a:r>
        </a:p>
        <a:p>
          <a:r>
            <a:rPr lang="es-AR" sz="1100"/>
            <a:t>-Cantidad de pacientes.</a:t>
          </a:r>
        </a:p>
        <a:p>
          <a:r>
            <a:rPr lang="es-AR" sz="1100"/>
            <a:t>-Tipo de prestaciones.</a:t>
          </a:r>
        </a:p>
        <a:p>
          <a:r>
            <a:rPr lang="es-AR" sz="1100"/>
            <a:t>-Precio promedio de los servicios.</a:t>
          </a:r>
        </a:p>
        <a:p>
          <a:r>
            <a:rPr lang="es-AR" sz="1100"/>
            <a:t>-Especialidades atendidas.</a:t>
          </a:r>
        </a:p>
        <a:p>
          <a:r>
            <a:rPr lang="es-AR" sz="1100"/>
            <a:t>-Ubicación geográfica.</a:t>
          </a:r>
        </a:p>
        <a:p>
          <a:endParaRPr lang="es-AR" sz="1100"/>
        </a:p>
        <a:p>
          <a:r>
            <a:rPr lang="es-AR" sz="1100"/>
            <a:t>*Conclusión refinada:*</a:t>
          </a:r>
        </a:p>
        <a:p>
          <a:r>
            <a:rPr lang="es-AR" sz="1100"/>
            <a:t>Los valores alejados del comportamiento general deben considerarse señales para profundizar el análisis, pero no permiten establecer por sí solos que exista una anomalía o un problema operativo.</a:t>
          </a:r>
        </a:p>
        <a:p>
          <a:endParaRPr lang="es-AR" sz="1100"/>
        </a:p>
        <a:p>
          <a:r>
            <a:rPr lang="es-AR" sz="1100"/>
            <a:t> Resultado del análisis</a:t>
          </a:r>
        </a:p>
        <a:p>
          <a:endParaRPr lang="es-AR" sz="1100"/>
        </a:p>
        <a:p>
          <a:r>
            <a:rPr lang="es-AR" sz="1100"/>
            <a:t>El análisis “abogado del diablo” permitió reformular las conclusiones para diferenciar **datos observables** de **interpretaciones causales**, incorporando variables adicionales que podrían explicar las tendencias identificadas.</a:t>
          </a:r>
        </a:p>
        <a:p>
          <a:endParaRPr lang="es-AR" sz="1100"/>
        </a:p>
      </xdr:txBody>
    </xdr:sp>
    <xdr:clientData/>
  </xdr:oneCellAnchor>
  <xdr:oneCellAnchor>
    <xdr:from>
      <xdr:col>0</xdr:col>
      <xdr:colOff>352425</xdr:colOff>
      <xdr:row>0</xdr:row>
      <xdr:rowOff>9524</xdr:rowOff>
    </xdr:from>
    <xdr:ext cx="5591175" cy="6048376"/>
    <xdr:sp macro="" textlink="">
      <xdr:nvSpPr>
        <xdr:cNvPr id="3" name="CuadroTexto 2">
          <a:extLst>
            <a:ext uri="{FF2B5EF4-FFF2-40B4-BE49-F238E27FC236}">
              <a16:creationId xmlns:a16="http://schemas.microsoft.com/office/drawing/2014/main" id="{C8843DB7-34D5-FE83-2D8C-3276CEAC3186}"/>
            </a:ext>
          </a:extLst>
        </xdr:cNvPr>
        <xdr:cNvSpPr txBox="1"/>
      </xdr:nvSpPr>
      <xdr:spPr>
        <a:xfrm>
          <a:off x="352425" y="9524"/>
          <a:ext cx="5591175" cy="6048376"/>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AR" sz="1100" b="0" i="0" u="none" strike="noStrike">
              <a:solidFill>
                <a:schemeClr val="tx1"/>
              </a:solidFill>
              <a:effectLst/>
              <a:latin typeface="+mn-lt"/>
              <a:ea typeface="+mn-ea"/>
              <a:cs typeface="+mn-cs"/>
            </a:rPr>
            <a:t>REGISTRO DE USO DE INTELIGENCIA ARTIFICIAL</a:t>
          </a:r>
          <a:r>
            <a:rPr lang="es-AR"/>
            <a:t> </a:t>
          </a:r>
        </a:p>
        <a:p>
          <a:endParaRPr lang="es-AR" sz="1100"/>
        </a:p>
        <a:p>
          <a:r>
            <a:rPr lang="es-AR" sz="1100"/>
            <a:t>Objetivo</a:t>
          </a:r>
        </a:p>
        <a:p>
          <a:endParaRPr lang="es-AR" sz="1100"/>
        </a:p>
        <a:p>
          <a:r>
            <a:rPr lang="es-AR" sz="1100"/>
            <a:t>Utilización de ChatGPT como herramienta de apoyo para revisar la interpretación de los resultados del dashboard, detectar posibles sesgos y evitar conclusiones que no estuvieran directamente respaldadas por los datos.</a:t>
          </a:r>
        </a:p>
        <a:p>
          <a:endParaRPr lang="es-AR" sz="1100"/>
        </a:p>
        <a:p>
          <a:r>
            <a:rPr lang="es-AR" sz="1100"/>
            <a:t>Validación de insights</a:t>
          </a:r>
        </a:p>
        <a:p>
          <a:endParaRPr lang="es-AR" sz="1100"/>
        </a:p>
        <a:p>
          <a:r>
            <a:rPr lang="es-AR" sz="1100"/>
            <a:t>"Analizá las siguientes conclusiones obtenidas de un dashboard de ventas y señalá qué afirmaciones están respaldadas directamente por los datos y cuáles podrían estar sobreinterpretadas."</a:t>
          </a:r>
        </a:p>
        <a:p>
          <a:endParaRPr lang="es-AR" sz="1100"/>
        </a:p>
        <a:p>
          <a:r>
            <a:rPr lang="es-AR" sz="1100"/>
            <a:t>Refinamiento</a:t>
          </a:r>
        </a:p>
        <a:p>
          <a:endParaRPr lang="es-AR" sz="1100"/>
        </a:p>
        <a:p>
          <a:r>
            <a:rPr lang="es-AR" sz="1100"/>
            <a:t>"Reescribí las conclusiones utilizando un lenguaje descriptivo y prudente, diferenciando datos observados, interpretación y posibles explicaciones."</a:t>
          </a:r>
        </a:p>
        <a:p>
          <a:endParaRPr lang="es-AR" sz="1100"/>
        </a:p>
        <a:p>
          <a:r>
            <a:rPr lang="es-AR" sz="1100"/>
            <a:t>Resultado de la revisión</a:t>
          </a:r>
        </a:p>
        <a:p>
          <a:endParaRPr lang="es-AR" sz="1100"/>
        </a:p>
        <a:p>
          <a:r>
            <a:rPr lang="es-AR" sz="1100"/>
            <a:t>Se modificó la narrativa del dashboard para evitar atribuir causalidad sin evidencia suficiente. Se reemplazaron afirmaciones categóricas por formulaciones basadas en datos observados y se incorporó la expresión "posibles comportamientos atípicos" para el análisis de dispersión.</a:t>
          </a:r>
        </a:p>
        <a:p>
          <a:endParaRPr lang="es-AR" sz="1100"/>
        </a:p>
        <a:p>
          <a:endParaRPr lang="es-AR" sz="1100"/>
        </a:p>
      </xdr:txBody>
    </xdr:sp>
    <xdr:clientData/>
  </xdr:one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79.625176273148" backgroundQuery="1" createdVersion="6" refreshedVersion="8" minRefreshableVersion="3" recordCount="0" supportSubquery="1" supportAdvancedDrill="1" xr:uid="{00000000-000A-0000-FFFF-FFFF01000000}">
  <cacheSource type="external" connectionId="6"/>
  <cacheFields count="3">
    <cacheField name="[Measures].[Suma de Monto]" caption="Suma de Monto" numFmtId="0" hierarchy="37" level="32767"/>
    <cacheField name="[Transacciones_Crudas].[Categoría].[Categoría]" caption="Categoría" numFmtId="0" hierarchy="27" level="1">
      <sharedItems count="5">
        <s v="Antisépticos"/>
        <s v="Curaciones"/>
        <s v="Descartables"/>
        <s v="Medicamentos"/>
        <s v="Protección"/>
      </sharedItems>
    </cacheField>
    <cacheField name="[Transacciones_Crudas].[Región].[Región]" caption="Región" numFmtId="0" hierarchy="24" level="1">
      <sharedItems containsSemiMixedTypes="0" containsNonDate="0" containsString="0"/>
    </cacheField>
  </cacheFields>
  <cacheHierarchies count="38">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0" memberValueDatatype="20" unbalanced="0"/>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0" memberValueDatatype="130" unbalanced="0"/>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0" memberValueDatatype="130" unbalanced="0"/>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Transacciones_Crudas].[Fecha]" caption="Fecha" attribute="1" time="1" defaultMemberUniqueName="[Transacciones_Crudas].[Fecha].[All]" allUniqueName="[Transacciones_Crudas].[Fecha].[All]" dimensionUniqueName="[Transacciones_Crudas]" displayFolder="" count="0" memberValueDatatype="7" unbalanced="0"/>
    <cacheHierarchy uniqueName="[Transacciones_Crudas].[ID_Sanatorio]" caption="ID_Sanatorio" attribute="1" defaultMemberUniqueName="[Transacciones_Crudas].[ID_Sanatorio].[All]" allUniqueName="[Transacciones_Crudas].[ID_Sanatorio].[All]" dimensionUniqueName="[Transacciones_Crudas]" displayFolder="" count="0" memberValueDatatype="130" unbalanced="0"/>
    <cacheHierarchy uniqueName="[Transacciones_Crudas].[Sanatorio]" caption="Sanatorio" attribute="1" defaultMemberUniqueName="[Transacciones_Crudas].[Sanatorio].[All]" allUniqueName="[Transacciones_Crudas].[Sanatorio].[All]" dimensionUniqueName="[Transacciones_Crudas]" displayFolder="" count="0" memberValueDatatype="130" unbalanced="0"/>
    <cacheHierarchy uniqueName="[Transacciones_Crudas].[Región]" caption="Región" attribute="1" defaultMemberUniqueName="[Transacciones_Crudas].[Región].[All]" allUniqueName="[Transacciones_Crudas].[Región].[All]" dimensionUniqueName="[Transacciones_Crudas]" displayFolder="" count="2" memberValueDatatype="130" unbalanced="0">
      <fieldsUsage count="2">
        <fieldUsage x="-1"/>
        <fieldUsage x="2"/>
      </fieldsUsage>
    </cacheHierarchy>
    <cacheHierarchy uniqueName="[Transacciones_Crudas].[ID_Insumo]" caption="ID_Insumo" attribute="1" defaultMemberUniqueName="[Transacciones_Crudas].[ID_Insumo].[All]" allUniqueName="[Transacciones_Crudas].[ID_Insumo].[All]" dimensionUniqueName="[Transacciones_Crudas]" displayFolder="" count="0" memberValueDatatype="130" unbalanced="0"/>
    <cacheHierarchy uniqueName="[Transacciones_Crudas].[Insumo]" caption="Insumo" attribute="1" defaultMemberUniqueName="[Transacciones_Crudas].[Insumo].[All]" allUniqueName="[Transacciones_Crudas].[Insumo].[All]" dimensionUniqueName="[Transacciones_Crudas]" displayFolder="" count="0" memberValueDatatype="130" unbalanced="0"/>
    <cacheHierarchy uniqueName="[Transacciones_Crudas].[Categoría]" caption="Categoría" attribute="1" defaultMemberUniqueName="[Transacciones_Crudas].[Categoría].[All]" allUniqueName="[Transacciones_Crudas].[Categoría].[All]" dimensionUniqueName="[Transacciones_Crudas]" displayFolder="" count="2" memberValueDatatype="130" unbalanced="0">
      <fieldsUsage count="2">
        <fieldUsage x="-1"/>
        <fieldUsage x="1"/>
      </fieldsUsage>
    </cacheHierarchy>
    <cacheHierarchy uniqueName="[Transacciones_Crudas].[Cantidad]" caption="Cantidad" attribute="1" defaultMemberUniqueName="[Transacciones_Crudas].[Cantidad].[All]" allUniqueName="[Transacciones_Crudas].[Cantidad].[All]" dimensionUniqueName="[Transacciones_Crudas]" displayFolder="" count="0" memberValueDatatype="20" unbalanced="0"/>
    <cacheHierarchy uniqueName="[Transacciones_Crudas].[Precio_Unitario]" caption="Precio_Unitario" attribute="1" defaultMemberUniqueName="[Transacciones_Crudas].[Precio_Unitario].[All]" allUniqueName="[Transacciones_Crudas].[Precio_Unitario].[All]" dimensionUniqueName="[Transacciones_Crudas]" displayFolder="" count="0" memberValueDatatype="5" unbalanced="0"/>
    <cacheHierarchy uniqueName="[Transacciones_Crudas].[Monto]" caption="Monto" attribute="1" defaultMemberUniqueName="[Transacciones_Crudas].[Monto].[All]" allUniqueName="[Transacciones_Crudas].[Monto].[All]" dimensionUniqueName="[Transacciones_Crudas]" displayFolder="" count="0" memberValueDatatype="5" unbalanced="0"/>
    <cacheHierarchy uniqueName="[Measures].[__XL_Count Transacciones_Crudas]" caption="__XL_Count Transacciones_Crudas" measure="1" displayFolder="" measureGroup="Transacciones_Crudas" count="0" hidden="1"/>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y uniqueName="[Measures].[Suma de Monto]" caption="Suma de Monto" measure="1" displayFolder="" measureGroup="Transacciones_Crudas" count="0" oneField="1" hidden="1">
      <fieldsUsage count="1">
        <fieldUsage x="0"/>
      </fieldsUsage>
    </cacheHierarchy>
  </cacheHierarchies>
  <kpis count="0"/>
  <dimensions count="6">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 name="Transacciones_Crudas" uniqueName="[Transacciones_Crudas]" caption="Transacciones_Crudas"/>
  </dimensions>
  <measureGroups count="5">
    <measureGroup name="Dim_Calendario" caption="Dim_Calendario"/>
    <measureGroup name="Dim_Productos" caption="Dim_Productos"/>
    <measureGroup name="Dim_Sanatorios" caption="Dim_Sanatorios"/>
    <measureGroup name="Fact_Transacciones 1" caption="Fact_Transacciones 1"/>
    <measureGroup name="Transacciones_Crudas" caption="Transacciones_Crudas"/>
  </measureGroups>
  <maps count="8">
    <map measureGroup="0" dimension="0"/>
    <map measureGroup="1" dimension="1"/>
    <map measureGroup="2" dimension="2"/>
    <map measureGroup="3" dimension="0"/>
    <map measureGroup="3" dimension="1"/>
    <map measureGroup="3" dimension="2"/>
    <map measureGroup="3"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79.62518101852" backgroundQuery="1" createdVersion="6" refreshedVersion="8" minRefreshableVersion="3" recordCount="0" supportSubquery="1" supportAdvancedDrill="1" xr:uid="{00000000-000A-0000-FFFF-FFFF00000000}">
  <cacheSource type="external" connectionId="6"/>
  <cacheFields count="3">
    <cacheField name="[Transacciones_Crudas].[Región].[Región]" caption="Región" numFmtId="0" hierarchy="24" level="1">
      <sharedItems count="5">
        <s v="Centro"/>
        <s v="Este"/>
        <s v="Norte"/>
        <s v="Oeste"/>
        <s v="Sur"/>
      </sharedItems>
    </cacheField>
    <cacheField name="[Measures].[Suma de Monto]" caption="Suma de Monto" numFmtId="0" hierarchy="37" level="32767"/>
    <cacheField name="[Transacciones_Crudas].[Categoría].[Categoría]" caption="Categoría" numFmtId="0" hierarchy="27" level="1">
      <sharedItems containsSemiMixedTypes="0" containsNonDate="0" containsString="0"/>
    </cacheField>
  </cacheFields>
  <cacheHierarchies count="38">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0" memberValueDatatype="20" unbalanced="0"/>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0" memberValueDatatype="130" unbalanced="0"/>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0" memberValueDatatype="130" unbalanced="0"/>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Transacciones_Crudas].[Fecha]" caption="Fecha" attribute="1" time="1" defaultMemberUniqueName="[Transacciones_Crudas].[Fecha].[All]" allUniqueName="[Transacciones_Crudas].[Fecha].[All]" dimensionUniqueName="[Transacciones_Crudas]" displayFolder="" count="0" memberValueDatatype="7" unbalanced="0"/>
    <cacheHierarchy uniqueName="[Transacciones_Crudas].[ID_Sanatorio]" caption="ID_Sanatorio" attribute="1" defaultMemberUniqueName="[Transacciones_Crudas].[ID_Sanatorio].[All]" allUniqueName="[Transacciones_Crudas].[ID_Sanatorio].[All]" dimensionUniqueName="[Transacciones_Crudas]" displayFolder="" count="0" memberValueDatatype="130" unbalanced="0"/>
    <cacheHierarchy uniqueName="[Transacciones_Crudas].[Sanatorio]" caption="Sanatorio" attribute="1" defaultMemberUniqueName="[Transacciones_Crudas].[Sanatorio].[All]" allUniqueName="[Transacciones_Crudas].[Sanatorio].[All]" dimensionUniqueName="[Transacciones_Crudas]" displayFolder="" count="0" memberValueDatatype="130" unbalanced="0"/>
    <cacheHierarchy uniqueName="[Transacciones_Crudas].[Región]" caption="Región" attribute="1" defaultMemberUniqueName="[Transacciones_Crudas].[Región].[All]" allUniqueName="[Transacciones_Crudas].[Región].[All]" dimensionUniqueName="[Transacciones_Crudas]" displayFolder="" count="2" memberValueDatatype="130" unbalanced="0">
      <fieldsUsage count="2">
        <fieldUsage x="-1"/>
        <fieldUsage x="0"/>
      </fieldsUsage>
    </cacheHierarchy>
    <cacheHierarchy uniqueName="[Transacciones_Crudas].[ID_Insumo]" caption="ID_Insumo" attribute="1" defaultMemberUniqueName="[Transacciones_Crudas].[ID_Insumo].[All]" allUniqueName="[Transacciones_Crudas].[ID_Insumo].[All]" dimensionUniqueName="[Transacciones_Crudas]" displayFolder="" count="0" memberValueDatatype="130" unbalanced="0"/>
    <cacheHierarchy uniqueName="[Transacciones_Crudas].[Insumo]" caption="Insumo" attribute="1" defaultMemberUniqueName="[Transacciones_Crudas].[Insumo].[All]" allUniqueName="[Transacciones_Crudas].[Insumo].[All]" dimensionUniqueName="[Transacciones_Crudas]" displayFolder="" count="0" memberValueDatatype="130" unbalanced="0"/>
    <cacheHierarchy uniqueName="[Transacciones_Crudas].[Categoría]" caption="Categoría" attribute="1" defaultMemberUniqueName="[Transacciones_Crudas].[Categoría].[All]" allUniqueName="[Transacciones_Crudas].[Categoría].[All]" dimensionUniqueName="[Transacciones_Crudas]" displayFolder="" count="2" memberValueDatatype="130" unbalanced="0">
      <fieldsUsage count="2">
        <fieldUsage x="-1"/>
        <fieldUsage x="2"/>
      </fieldsUsage>
    </cacheHierarchy>
    <cacheHierarchy uniqueName="[Transacciones_Crudas].[Cantidad]" caption="Cantidad" attribute="1" defaultMemberUniqueName="[Transacciones_Crudas].[Cantidad].[All]" allUniqueName="[Transacciones_Crudas].[Cantidad].[All]" dimensionUniqueName="[Transacciones_Crudas]" displayFolder="" count="0" memberValueDatatype="20" unbalanced="0"/>
    <cacheHierarchy uniqueName="[Transacciones_Crudas].[Precio_Unitario]" caption="Precio_Unitario" attribute="1" defaultMemberUniqueName="[Transacciones_Crudas].[Precio_Unitario].[All]" allUniqueName="[Transacciones_Crudas].[Precio_Unitario].[All]" dimensionUniqueName="[Transacciones_Crudas]" displayFolder="" count="0" memberValueDatatype="5" unbalanced="0"/>
    <cacheHierarchy uniqueName="[Transacciones_Crudas].[Monto]" caption="Monto" attribute="1" defaultMemberUniqueName="[Transacciones_Crudas].[Monto].[All]" allUniqueName="[Transacciones_Crudas].[Monto].[All]" dimensionUniqueName="[Transacciones_Crudas]" displayFolder="" count="0" memberValueDatatype="5" unbalanced="0"/>
    <cacheHierarchy uniqueName="[Measures].[__XL_Count Transacciones_Crudas]" caption="__XL_Count Transacciones_Crudas" measure="1" displayFolder="" measureGroup="Transacciones_Crudas" count="0" hidden="1"/>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y uniqueName="[Measures].[Suma de Monto]" caption="Suma de Monto" measure="1" displayFolder="" measureGroup="Transacciones_Crudas" count="0" oneField="1" hidden="1">
      <fieldsUsage count="1">
        <fieldUsage x="1"/>
      </fieldsUsage>
    </cacheHierarchy>
  </cacheHierarchies>
  <kpis count="0"/>
  <dimensions count="6">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 name="Transacciones_Crudas" uniqueName="[Transacciones_Crudas]" caption="Transacciones_Crudas"/>
  </dimensions>
  <measureGroups count="5">
    <measureGroup name="Dim_Calendario" caption="Dim_Calendario"/>
    <measureGroup name="Dim_Productos" caption="Dim_Productos"/>
    <measureGroup name="Dim_Sanatorios" caption="Dim_Sanatorios"/>
    <measureGroup name="Fact_Transacciones 1" caption="Fact_Transacciones 1"/>
    <measureGroup name="Transacciones_Crudas" caption="Transacciones_Crudas"/>
  </measureGroups>
  <maps count="8">
    <map measureGroup="0" dimension="0"/>
    <map measureGroup="1" dimension="1"/>
    <map measureGroup="2" dimension="2"/>
    <map measureGroup="3" dimension="0"/>
    <map measureGroup="3" dimension="1"/>
    <map measureGroup="3" dimension="2"/>
    <map measureGroup="3" dimension="3"/>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86.503573726855" backgroundQuery="1" createdVersion="8" refreshedVersion="8" minRefreshableVersion="3" recordCount="0" supportSubquery="1" supportAdvancedDrill="1" xr:uid="{885186CE-FB7B-4697-A15E-6879D5B7F615}">
  <cacheSource type="external" connectionId="6"/>
  <cacheFields count="0"/>
  <cacheHierarchies count="34">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0" memberValueDatatype="20" unbalanced="0"/>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0" memberValueDatatype="130" unbalanced="0"/>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0" memberValueDatatype="130" unbalanced="0"/>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Fact_Transacciones 1].[Ventas Totales]" caption="Ventas Totales" attribute="1" defaultMemberUniqueName="[Fact_Transacciones 1].[Ventas Totales].[All]" allUniqueName="[Fact_Transacciones 1].[Ventas Totales].[All]" dimensionUniqueName="[Fact_Transacciones 1]" displayFolder="" count="0" memberValueDatatype="20" unbalanced="0"/>
    <cacheHierarchy uniqueName="[Measures].[Suma de Ventas Totales]" caption="Suma de Ventas Totales" measure="1" displayFolder="" measureGroup="Fact_Transacciones 1" count="0">
      <extLst>
        <ext xmlns:x15="http://schemas.microsoft.com/office/spreadsheetml/2010/11/main" uri="{B97F6D7D-B522-45F9-BDA1-12C45D357490}">
          <x15:cacheHierarchy aggregatedColumn="21"/>
        </ext>
      </extLst>
    </cacheHierarchy>
    <cacheHierarchy uniqueName="[Measures].[Totales]" caption="Totales" measure="1" displayFolder="" measureGroup="Fact_Transacciones 1" count="0"/>
    <cacheHierarchy uniqueName="[Measures].[Precio Promedio Ponderado]" caption="Precio Promedio Ponderado" measure="1" displayFolder="" measureGroup="Fact_Transacciones 1" count="0"/>
    <cacheHierarchy uniqueName="[Measures].[Cantidad Total]" caption="Cantidad Total" measure="1" displayFolder="" measureGroup="Fact_Transacciones 1" count="0"/>
    <cacheHierarchy uniqueName="[Measures].[Ventas Año Anterior]" caption="Ventas Año Anterior" measure="1" displayFolder="" measureGroup="Fact_Transacciones 1" count="0"/>
    <cacheHierarchy uniqueName="[Measures].[Crecimiento YoY]" caption="Crecimiento YoY" measure="1" displayFolder="" measureGroup="Fact_Transacciones 1" count="0"/>
    <cacheHierarchy uniqueName="[Measures].[Precio_Promedio_Año_Anterior]" caption="Precio_Promedio_Año_Anterior" measure="1" displayFolder="" measureGroup="Fact_Transacciones 1" count="0"/>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ies>
  <kpis count="0"/>
  <dimensions count="5">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s>
  <measureGroups count="4">
    <measureGroup name="Dim_Calendario" caption="Dim_Calendario"/>
    <measureGroup name="Dim_Productos" caption="Dim_Productos"/>
    <measureGroup name="Dim_Sanatorios" caption="Dim_Sanatorios"/>
    <measureGroup name="Fact_Transacciones 1" caption="Fact_Transacciones 1"/>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87.497185069442" backgroundQuery="1" createdVersion="8" refreshedVersion="8" minRefreshableVersion="3" recordCount="0" supportSubquery="1" supportAdvancedDrill="1" xr:uid="{758B2CC2-50D2-44A0-9AA7-DEE7D525936B}">
  <cacheSource type="external" connectionId="6"/>
  <cacheFields count="3">
    <cacheField name="[Dim_Sanatorios].[Sanatorio].[Sanatorio]" caption="Sanatorio" numFmtId="0" hierarchy="9" level="1">
      <sharedItems count="8">
        <s v="Hospital Municipal Centro"/>
        <s v="Hospital Municipal Este"/>
        <s v="Hospital Municipal Norte"/>
        <s v="Hospital Municipal Oeste"/>
        <s v="Hospital Municipal Parque"/>
        <s v="Hospital Municipal San Martín"/>
        <s v="Hospital Municipal Sur"/>
        <s v="Hospital Municipal Villa Libertad"/>
      </sharedItems>
    </cacheField>
    <cacheField name="[Measures].[Totales]" caption="Totales" numFmtId="0" hierarchy="23" level="32767"/>
    <cacheField name="[Measures].[Cantidad Total]" caption="Cantidad Total" numFmtId="0" hierarchy="25" level="32767"/>
  </cacheFields>
  <cacheHierarchies count="34">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0" memberValueDatatype="20" unbalanced="0"/>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0" memberValueDatatype="130" unbalanced="0"/>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2" memberValueDatatype="130" unbalanced="0">
      <fieldsUsage count="2">
        <fieldUsage x="-1"/>
        <fieldUsage x="0"/>
      </fieldsUsage>
    </cacheHierarchy>
    <cacheHierarchy uniqueName="[Dim_Sanatorios].[Región]" caption="Región" attribute="1" defaultMemberUniqueName="[Dim_Sanatorios].[Región].[All]" allUniqueName="[Dim_Sanatorios].[Región].[All]" dimensionUniqueName="[Dim_Sanatorios]" displayFolder="" count="0" memberValueDatatype="130" unbalanced="0"/>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Fact_Transacciones 1].[Ventas Totales]" caption="Ventas Totales" attribute="1" defaultMemberUniqueName="[Fact_Transacciones 1].[Ventas Totales].[All]" allUniqueName="[Fact_Transacciones 1].[Ventas Totales].[All]" dimensionUniqueName="[Fact_Transacciones 1]" displayFolder="" count="0" memberValueDatatype="20" unbalanced="0"/>
    <cacheHierarchy uniqueName="[Measures].[Suma de Ventas Totales]" caption="Suma de Ventas Totales" measure="1" displayFolder="" measureGroup="Fact_Transacciones 1" count="0">
      <extLst>
        <ext xmlns:x15="http://schemas.microsoft.com/office/spreadsheetml/2010/11/main" uri="{B97F6D7D-B522-45F9-BDA1-12C45D357490}">
          <x15:cacheHierarchy aggregatedColumn="21"/>
        </ext>
      </extLst>
    </cacheHierarchy>
    <cacheHierarchy uniqueName="[Measures].[Totales]" caption="Totales" measure="1" displayFolder="" measureGroup="Fact_Transacciones 1" count="0" oneField="1">
      <fieldsUsage count="1">
        <fieldUsage x="1"/>
      </fieldsUsage>
    </cacheHierarchy>
    <cacheHierarchy uniqueName="[Measures].[Precio Promedio Ponderado]" caption="Precio Promedio Ponderado" measure="1" displayFolder="" measureGroup="Fact_Transacciones 1" count="0"/>
    <cacheHierarchy uniqueName="[Measures].[Cantidad Total]" caption="Cantidad Total" measure="1" displayFolder="" measureGroup="Fact_Transacciones 1" count="0" oneField="1">
      <fieldsUsage count="1">
        <fieldUsage x="2"/>
      </fieldsUsage>
    </cacheHierarchy>
    <cacheHierarchy uniqueName="[Measures].[Ventas Año Anterior]" caption="Ventas Año Anterior" measure="1" displayFolder="" measureGroup="Fact_Transacciones 1" count="0"/>
    <cacheHierarchy uniqueName="[Measures].[Crecimiento YoY]" caption="Crecimiento YoY" measure="1" displayFolder="" measureGroup="Fact_Transacciones 1" count="0"/>
    <cacheHierarchy uniqueName="[Measures].[Precio_Promedio_Año_Anterior]" caption="Precio_Promedio_Año_Anterior" measure="1" displayFolder="" measureGroup="Fact_Transacciones 1" count="0"/>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ies>
  <kpis count="0"/>
  <dimensions count="5">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s>
  <measureGroups count="4">
    <measureGroup name="Dim_Calendario" caption="Dim_Calendario"/>
    <measureGroup name="Dim_Productos" caption="Dim_Productos"/>
    <measureGroup name="Dim_Sanatorios" caption="Dim_Sanatorios"/>
    <measureGroup name="Fact_Transacciones 1" caption="Fact_Transacciones 1"/>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87.497189351852" backgroundQuery="1" createdVersion="8" refreshedVersion="8" minRefreshableVersion="3" recordCount="0" supportSubquery="1" supportAdvancedDrill="1" xr:uid="{3AC4E2E9-5B04-4EBB-A7F1-C710C0470C73}">
  <cacheSource type="external" connectionId="6"/>
  <cacheFields count="4">
    <cacheField name="[Dim_Productos].[Categoría].[Categoría]" caption="Categoría" numFmtId="0" hierarchy="7" level="1">
      <sharedItems count="5">
        <s v="Antisépticos"/>
        <s v="Curaciones"/>
        <s v="Descartables"/>
        <s v="Medicamentos"/>
        <s v="Protección"/>
      </sharedItems>
    </cacheField>
    <cacheField name="[Measures].[Totales]" caption="Totales" numFmtId="0" hierarchy="23" level="32767"/>
    <cacheField name="[Dim_Sanatorios].[Región].[Región]" caption="Región" numFmtId="0" hierarchy="10" level="1">
      <sharedItems containsSemiMixedTypes="0" containsNonDate="0" containsString="0"/>
    </cacheField>
    <cacheField name="[Dim_Calendario].[Año].[Año]" caption="Año" numFmtId="0" hierarchy="1" level="1">
      <sharedItems containsSemiMixedTypes="0" containsNonDate="0" containsString="0"/>
    </cacheField>
  </cacheFields>
  <cacheHierarchies count="34">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2" memberValueDatatype="20" unbalanced="0">
      <fieldsUsage count="2">
        <fieldUsage x="-1"/>
        <fieldUsage x="3"/>
      </fieldsUsage>
    </cacheHierarchy>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2" memberValueDatatype="130" unbalanced="0">
      <fieldsUsage count="2">
        <fieldUsage x="-1"/>
        <fieldUsage x="0"/>
      </fieldsUsage>
    </cacheHierarchy>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2" memberValueDatatype="130" unbalanced="0">
      <fieldsUsage count="2">
        <fieldUsage x="-1"/>
        <fieldUsage x="2"/>
      </fieldsUsage>
    </cacheHierarchy>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Fact_Transacciones 1].[Ventas Totales]" caption="Ventas Totales" attribute="1" defaultMemberUniqueName="[Fact_Transacciones 1].[Ventas Totales].[All]" allUniqueName="[Fact_Transacciones 1].[Ventas Totales].[All]" dimensionUniqueName="[Fact_Transacciones 1]" displayFolder="" count="0" memberValueDatatype="20" unbalanced="0"/>
    <cacheHierarchy uniqueName="[Measures].[Suma de Ventas Totales]" caption="Suma de Ventas Totales" measure="1" displayFolder="" measureGroup="Fact_Transacciones 1" count="0">
      <extLst>
        <ext xmlns:x15="http://schemas.microsoft.com/office/spreadsheetml/2010/11/main" uri="{B97F6D7D-B522-45F9-BDA1-12C45D357490}">
          <x15:cacheHierarchy aggregatedColumn="21"/>
        </ext>
      </extLst>
    </cacheHierarchy>
    <cacheHierarchy uniqueName="[Measures].[Totales]" caption="Totales" measure="1" displayFolder="" measureGroup="Fact_Transacciones 1" count="0" oneField="1">
      <fieldsUsage count="1">
        <fieldUsage x="1"/>
      </fieldsUsage>
    </cacheHierarchy>
    <cacheHierarchy uniqueName="[Measures].[Precio Promedio Ponderado]" caption="Precio Promedio Ponderado" measure="1" displayFolder="" measureGroup="Fact_Transacciones 1" count="0"/>
    <cacheHierarchy uniqueName="[Measures].[Cantidad Total]" caption="Cantidad Total" measure="1" displayFolder="" measureGroup="Fact_Transacciones 1" count="0"/>
    <cacheHierarchy uniqueName="[Measures].[Ventas Año Anterior]" caption="Ventas Año Anterior" measure="1" displayFolder="" measureGroup="Fact_Transacciones 1" count="0"/>
    <cacheHierarchy uniqueName="[Measures].[Crecimiento YoY]" caption="Crecimiento YoY" measure="1" displayFolder="" measureGroup="Fact_Transacciones 1" count="0"/>
    <cacheHierarchy uniqueName="[Measures].[Precio_Promedio_Año_Anterior]" caption="Precio_Promedio_Año_Anterior" measure="1" displayFolder="" measureGroup="Fact_Transacciones 1" count="0"/>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ies>
  <kpis count="0"/>
  <dimensions count="5">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s>
  <measureGroups count="4">
    <measureGroup name="Dim_Calendario" caption="Dim_Calendario"/>
    <measureGroup name="Dim_Productos" caption="Dim_Productos"/>
    <measureGroup name="Dim_Sanatorios" caption="Dim_Sanatorios"/>
    <measureGroup name="Fact_Transacciones 1" caption="Fact_Transacciones 1"/>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87.497192361108" backgroundQuery="1" createdVersion="8" refreshedVersion="8" minRefreshableVersion="3" recordCount="0" supportSubquery="1" supportAdvancedDrill="1" xr:uid="{BB132E6E-C9E7-41BE-A28D-C6AEF0C8D41D}">
  <cacheSource type="external" connectionId="6"/>
  <cacheFields count="6">
    <cacheField name="[Measures].[Totales]" caption="Totales" numFmtId="0" hierarchy="23" level="32767"/>
    <cacheField name="[Dim_Calendario].[Mes].[Mes]" caption="Mes" numFmtId="0" hierarchy="2"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Dim_Calendario].[Mes].&amp;[1]"/>
            <x15:cachedUniqueName index="1" name="[Dim_Calendario].[Mes].&amp;[2]"/>
            <x15:cachedUniqueName index="2" name="[Dim_Calendario].[Mes].&amp;[3]"/>
            <x15:cachedUniqueName index="3" name="[Dim_Calendario].[Mes].&amp;[4]"/>
            <x15:cachedUniqueName index="4" name="[Dim_Calendario].[Mes].&amp;[5]"/>
            <x15:cachedUniqueName index="5" name="[Dim_Calendario].[Mes].&amp;[6]"/>
            <x15:cachedUniqueName index="6" name="[Dim_Calendario].[Mes].&amp;[7]"/>
            <x15:cachedUniqueName index="7" name="[Dim_Calendario].[Mes].&amp;[8]"/>
            <x15:cachedUniqueName index="8" name="[Dim_Calendario].[Mes].&amp;[9]"/>
            <x15:cachedUniqueName index="9" name="[Dim_Calendario].[Mes].&amp;[10]"/>
            <x15:cachedUniqueName index="10" name="[Dim_Calendario].[Mes].&amp;[11]"/>
            <x15:cachedUniqueName index="11" name="[Dim_Calendario].[Mes].&amp;[12]"/>
          </x15:cachedUniqueNames>
        </ext>
      </extLst>
    </cacheField>
    <cacheField name="[Dim_Calendario].[Nombre_Mes].[Nombre_Mes]" caption="Nombre_Mes" numFmtId="0" hierarchy="3" level="1">
      <sharedItems count="12">
        <s v="enero"/>
        <s v="febrero"/>
        <s v="marzo"/>
        <s v="abril"/>
        <s v="mayo"/>
        <s v="junio"/>
        <s v="julio"/>
        <s v="agosto"/>
        <s v="septiembre"/>
        <s v="octubre"/>
        <s v="noviembre"/>
        <s v="diciembre"/>
      </sharedItems>
    </cacheField>
    <cacheField name="[Dim_Productos].[Categoría].[Categoría]" caption="Categoría" numFmtId="0" hierarchy="7" level="1">
      <sharedItems containsSemiMixedTypes="0" containsNonDate="0" containsString="0"/>
    </cacheField>
    <cacheField name="[Dim_Sanatorios].[Región].[Región]" caption="Región" numFmtId="0" hierarchy="10" level="1">
      <sharedItems containsSemiMixedTypes="0" containsNonDate="0" containsString="0"/>
    </cacheField>
    <cacheField name="[Dim_Calendario].[Año].[Año]" caption="Año" numFmtId="0" hierarchy="1" level="1">
      <sharedItems containsSemiMixedTypes="0" containsNonDate="0" containsString="0"/>
    </cacheField>
  </cacheFields>
  <cacheHierarchies count="34">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2" memberValueDatatype="20" unbalanced="0">
      <fieldsUsage count="2">
        <fieldUsage x="-1"/>
        <fieldUsage x="5"/>
      </fieldsUsage>
    </cacheHierarchy>
    <cacheHierarchy uniqueName="[Dim_Calendario].[Mes]" caption="Mes" attribute="1" defaultMemberUniqueName="[Dim_Calendario].[Mes].[All]" allUniqueName="[Dim_Calendario].[Mes].[All]" dimensionUniqueName="[Dim_Calendario]" displayFolder="" count="2" memberValueDatatype="20" unbalanced="0">
      <fieldsUsage count="2">
        <fieldUsage x="-1"/>
        <fieldUsage x="1"/>
      </fieldsUsage>
    </cacheHierarchy>
    <cacheHierarchy uniqueName="[Dim_Calendario].[Nombre_Mes]" caption="Nombre_Mes" attribute="1" defaultMemberUniqueName="[Dim_Calendario].[Nombre_Mes].[All]" allUniqueName="[Dim_Calendario].[Nombre_Mes].[All]" dimensionUniqueName="[Dim_Calendario]" displayFolder="" count="2" memberValueDatatype="130" unbalanced="0">
      <fieldsUsage count="2">
        <fieldUsage x="-1"/>
        <fieldUsage x="2"/>
      </fieldsUsage>
    </cacheHierarchy>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2" memberValueDatatype="130" unbalanced="0">
      <fieldsUsage count="2">
        <fieldUsage x="-1"/>
        <fieldUsage x="3"/>
      </fieldsUsage>
    </cacheHierarchy>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2" memberValueDatatype="130" unbalanced="0">
      <fieldsUsage count="2">
        <fieldUsage x="-1"/>
        <fieldUsage x="4"/>
      </fieldsUsage>
    </cacheHierarchy>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Fact_Transacciones 1].[Ventas Totales]" caption="Ventas Totales" attribute="1" defaultMemberUniqueName="[Fact_Transacciones 1].[Ventas Totales].[All]" allUniqueName="[Fact_Transacciones 1].[Ventas Totales].[All]" dimensionUniqueName="[Fact_Transacciones 1]" displayFolder="" count="0" memberValueDatatype="20" unbalanced="0"/>
    <cacheHierarchy uniqueName="[Measures].[Suma de Ventas Totales]" caption="Suma de Ventas Totales" measure="1" displayFolder="" measureGroup="Fact_Transacciones 1" count="0">
      <extLst>
        <ext xmlns:x15="http://schemas.microsoft.com/office/spreadsheetml/2010/11/main" uri="{B97F6D7D-B522-45F9-BDA1-12C45D357490}">
          <x15:cacheHierarchy aggregatedColumn="21"/>
        </ext>
      </extLst>
    </cacheHierarchy>
    <cacheHierarchy uniqueName="[Measures].[Totales]" caption="Totales" measure="1" displayFolder="" measureGroup="Fact_Transacciones 1" count="0" oneField="1">
      <fieldsUsage count="1">
        <fieldUsage x="0"/>
      </fieldsUsage>
    </cacheHierarchy>
    <cacheHierarchy uniqueName="[Measures].[Precio Promedio Ponderado]" caption="Precio Promedio Ponderado" measure="1" displayFolder="" measureGroup="Fact_Transacciones 1" count="0"/>
    <cacheHierarchy uniqueName="[Measures].[Cantidad Total]" caption="Cantidad Total" measure="1" displayFolder="" measureGroup="Fact_Transacciones 1" count="0"/>
    <cacheHierarchy uniqueName="[Measures].[Ventas Año Anterior]" caption="Ventas Año Anterior" measure="1" displayFolder="" measureGroup="Fact_Transacciones 1" count="0"/>
    <cacheHierarchy uniqueName="[Measures].[Crecimiento YoY]" caption="Crecimiento YoY" measure="1" displayFolder="" measureGroup="Fact_Transacciones 1" count="0"/>
    <cacheHierarchy uniqueName="[Measures].[Precio_Promedio_Año_Anterior]" caption="Precio_Promedio_Año_Anterior" measure="1" displayFolder="" measureGroup="Fact_Transacciones 1" count="0"/>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ies>
  <kpis count="0"/>
  <dimensions count="5">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s>
  <measureGroups count="4">
    <measureGroup name="Dim_Calendario" caption="Dim_Calendario"/>
    <measureGroup name="Dim_Productos" caption="Dim_Productos"/>
    <measureGroup name="Dim_Sanatorios" caption="Dim_Sanatorios"/>
    <measureGroup name="Fact_Transacciones 1" caption="Fact_Transacciones 1"/>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87.49719490741" backgroundQuery="1" createdVersion="8" refreshedVersion="8" minRefreshableVersion="3" recordCount="0" supportSubquery="1" supportAdvancedDrill="1" xr:uid="{C4AB279F-32C3-4652-AA16-D287526EA6A4}">
  <cacheSource type="external" connectionId="6"/>
  <cacheFields count="6">
    <cacheField name="[Dim_Sanatorios].[Región].[Región]" caption="Región" numFmtId="0" hierarchy="10" level="1">
      <sharedItems count="5">
        <s v="Centro"/>
        <s v="Este"/>
        <s v="Norte"/>
        <s v="Oeste"/>
        <s v="Sur"/>
      </sharedItems>
    </cacheField>
    <cacheField name="[Measures].[Totales]" caption="Totales" numFmtId="0" hierarchy="23" level="32767"/>
    <cacheField name="[Measures].[Crecimiento YoY]" caption="Crecimiento YoY" numFmtId="0" hierarchy="27" level="32767"/>
    <cacheField name="[Measures].[Precio Promedio Ponderado]" caption="Precio Promedio Ponderado" numFmtId="0" hierarchy="24" level="32767"/>
    <cacheField name="[Dim_Productos].[Categoría].[Categoría]" caption="Categoría" numFmtId="0" hierarchy="7" level="1">
      <sharedItems containsSemiMixedTypes="0" containsNonDate="0" containsString="0"/>
    </cacheField>
    <cacheField name="[Dim_Calendario].[Año].[Año]" caption="Año" numFmtId="0" hierarchy="1" level="1">
      <sharedItems containsSemiMixedTypes="0" containsNonDate="0" containsString="0"/>
    </cacheField>
  </cacheFields>
  <cacheHierarchies count="34">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2" memberValueDatatype="20" unbalanced="0">
      <fieldsUsage count="2">
        <fieldUsage x="-1"/>
        <fieldUsage x="5"/>
      </fieldsUsage>
    </cacheHierarchy>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2" memberValueDatatype="130" unbalanced="0">
      <fieldsUsage count="2">
        <fieldUsage x="-1"/>
        <fieldUsage x="4"/>
      </fieldsUsage>
    </cacheHierarchy>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2" memberValueDatatype="130" unbalanced="0">
      <fieldsUsage count="2">
        <fieldUsage x="-1"/>
        <fieldUsage x="0"/>
      </fieldsUsage>
    </cacheHierarchy>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Fact_Transacciones 1].[Ventas Totales]" caption="Ventas Totales" attribute="1" defaultMemberUniqueName="[Fact_Transacciones 1].[Ventas Totales].[All]" allUniqueName="[Fact_Transacciones 1].[Ventas Totales].[All]" dimensionUniqueName="[Fact_Transacciones 1]" displayFolder="" count="0" memberValueDatatype="20" unbalanced="0"/>
    <cacheHierarchy uniqueName="[Measures].[Suma de Ventas Totales]" caption="Suma de Ventas Totales" measure="1" displayFolder="" measureGroup="Fact_Transacciones 1" count="0">
      <extLst>
        <ext xmlns:x15="http://schemas.microsoft.com/office/spreadsheetml/2010/11/main" uri="{B97F6D7D-B522-45F9-BDA1-12C45D357490}">
          <x15:cacheHierarchy aggregatedColumn="21"/>
        </ext>
      </extLst>
    </cacheHierarchy>
    <cacheHierarchy uniqueName="[Measures].[Totales]" caption="Totales" measure="1" displayFolder="" measureGroup="Fact_Transacciones 1" count="0" oneField="1">
      <fieldsUsage count="1">
        <fieldUsage x="1"/>
      </fieldsUsage>
    </cacheHierarchy>
    <cacheHierarchy uniqueName="[Measures].[Precio Promedio Ponderado]" caption="Precio Promedio Ponderado" measure="1" displayFolder="" measureGroup="Fact_Transacciones 1" count="0" oneField="1">
      <fieldsUsage count="1">
        <fieldUsage x="3"/>
      </fieldsUsage>
    </cacheHierarchy>
    <cacheHierarchy uniqueName="[Measures].[Cantidad Total]" caption="Cantidad Total" measure="1" displayFolder="" measureGroup="Fact_Transacciones 1" count="0"/>
    <cacheHierarchy uniqueName="[Measures].[Ventas Año Anterior]" caption="Ventas Año Anterior" measure="1" displayFolder="" measureGroup="Fact_Transacciones 1" count="0"/>
    <cacheHierarchy uniqueName="[Measures].[Crecimiento YoY]" caption="Crecimiento YoY" measure="1" displayFolder="" measureGroup="Fact_Transacciones 1" count="0" oneField="1">
      <fieldsUsage count="1">
        <fieldUsage x="2"/>
      </fieldsUsage>
    </cacheHierarchy>
    <cacheHierarchy uniqueName="[Measures].[Precio_Promedio_Año_Anterior]" caption="Precio_Promedio_Año_Anterior" measure="1" displayFolder="" measureGroup="Fact_Transacciones 1" count="0"/>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ies>
  <kpis count="0"/>
  <dimensions count="5">
    <dimension name="Dim_Calendario" uniqueName="[Dim_Calendario]" caption="Dim_Calendario"/>
    <dimension name="Dim_Productos" uniqueName="[Dim_Productos]" caption="Dim_Productos"/>
    <dimension name="Dim_Sanatorios" uniqueName="[Dim_Sanatorios]" caption="Dim_Sanatorios"/>
    <dimension name="Fact_Transacciones 1" uniqueName="[Fact_Transacciones 1]" caption="Fact_Transacciones 1"/>
    <dimension measure="1" name="Measures" uniqueName="[Measures]" caption="Measures"/>
  </dimensions>
  <measureGroups count="4">
    <measureGroup name="Dim_Calendario" caption="Dim_Calendario"/>
    <measureGroup name="Dim_Productos" caption="Dim_Productos"/>
    <measureGroup name="Dim_Sanatorios" caption="Dim_Sanatorios"/>
    <measureGroup name="Fact_Transacciones 1" caption="Fact_Transacciones 1"/>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79.625173263892" backgroundQuery="1" createdVersion="3" refreshedVersion="8" minRefreshableVersion="3" recordCount="0" supportSubquery="1" supportAdvancedDrill="1" xr:uid="{1ADAEEFB-282D-4026-AD80-CC66F019F348}">
  <cacheSource type="external" connectionId="6">
    <extLst>
      <ext xmlns:x14="http://schemas.microsoft.com/office/spreadsheetml/2009/9/main" uri="{F057638F-6D5F-4e77-A914-E7F072B9BCA8}">
        <x14:sourceConnection name="ThisWorkbookDataModel"/>
      </ext>
    </extLst>
  </cacheSource>
  <cacheFields count="0"/>
  <cacheHierarchies count="38">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0" memberValueDatatype="20" unbalanced="0"/>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0" memberValueDatatype="130" unbalanced="0"/>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0" memberValueDatatype="130" unbalanced="0"/>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Transacciones_Crudas].[Fecha]" caption="Fecha" attribute="1" time="1" defaultMemberUniqueName="[Transacciones_Crudas].[Fecha].[All]" allUniqueName="[Transacciones_Crudas].[Fecha].[All]" dimensionUniqueName="[Transacciones_Crudas]" displayFolder="" count="0" memberValueDatatype="7" unbalanced="0"/>
    <cacheHierarchy uniqueName="[Transacciones_Crudas].[ID_Sanatorio]" caption="ID_Sanatorio" attribute="1" defaultMemberUniqueName="[Transacciones_Crudas].[ID_Sanatorio].[All]" allUniqueName="[Transacciones_Crudas].[ID_Sanatorio].[All]" dimensionUniqueName="[Transacciones_Crudas]" displayFolder="" count="0" memberValueDatatype="130" unbalanced="0"/>
    <cacheHierarchy uniqueName="[Transacciones_Crudas].[Sanatorio]" caption="Sanatorio" attribute="1" defaultMemberUniqueName="[Transacciones_Crudas].[Sanatorio].[All]" allUniqueName="[Transacciones_Crudas].[Sanatorio].[All]" dimensionUniqueName="[Transacciones_Crudas]" displayFolder="" count="0" memberValueDatatype="130" unbalanced="0"/>
    <cacheHierarchy uniqueName="[Transacciones_Crudas].[Región]" caption="Región" attribute="1" defaultMemberUniqueName="[Transacciones_Crudas].[Región].[All]" allUniqueName="[Transacciones_Crudas].[Región].[All]" dimensionUniqueName="[Transacciones_Crudas]" displayFolder="" count="2" memberValueDatatype="130" unbalanced="0"/>
    <cacheHierarchy uniqueName="[Transacciones_Crudas].[ID_Insumo]" caption="ID_Insumo" attribute="1" defaultMemberUniqueName="[Transacciones_Crudas].[ID_Insumo].[All]" allUniqueName="[Transacciones_Crudas].[ID_Insumo].[All]" dimensionUniqueName="[Transacciones_Crudas]" displayFolder="" count="0" memberValueDatatype="130" unbalanced="0"/>
    <cacheHierarchy uniqueName="[Transacciones_Crudas].[Insumo]" caption="Insumo" attribute="1" defaultMemberUniqueName="[Transacciones_Crudas].[Insumo].[All]" allUniqueName="[Transacciones_Crudas].[Insumo].[All]" dimensionUniqueName="[Transacciones_Crudas]" displayFolder="" count="0" memberValueDatatype="130" unbalanced="0"/>
    <cacheHierarchy uniqueName="[Transacciones_Crudas].[Categoría]" caption="Categoría" attribute="1" defaultMemberUniqueName="[Transacciones_Crudas].[Categoría].[All]" allUniqueName="[Transacciones_Crudas].[Categoría].[All]" dimensionUniqueName="[Transacciones_Crudas]" displayFolder="" count="2" memberValueDatatype="130" unbalanced="0"/>
    <cacheHierarchy uniqueName="[Transacciones_Crudas].[Cantidad]" caption="Cantidad" attribute="1" defaultMemberUniqueName="[Transacciones_Crudas].[Cantidad].[All]" allUniqueName="[Transacciones_Crudas].[Cantidad].[All]" dimensionUniqueName="[Transacciones_Crudas]" displayFolder="" count="0" memberValueDatatype="20" unbalanced="0"/>
    <cacheHierarchy uniqueName="[Transacciones_Crudas].[Precio_Unitario]" caption="Precio_Unitario" attribute="1" defaultMemberUniqueName="[Transacciones_Crudas].[Precio_Unitario].[All]" allUniqueName="[Transacciones_Crudas].[Precio_Unitario].[All]" dimensionUniqueName="[Transacciones_Crudas]" displayFolder="" count="0" memberValueDatatype="5" unbalanced="0"/>
    <cacheHierarchy uniqueName="[Transacciones_Crudas].[Monto]" caption="Monto" attribute="1" defaultMemberUniqueName="[Transacciones_Crudas].[Monto].[All]" allUniqueName="[Transacciones_Crudas].[Monto].[All]" dimensionUniqueName="[Transacciones_Crudas]" displayFolder="" count="0" memberValueDatatype="5" unbalanced="0"/>
    <cacheHierarchy uniqueName="[Measures].[__XL_Count Transacciones_Crudas]" caption="__XL_Count Transacciones_Crudas" measure="1" displayFolder="" measureGroup="Transacciones_Crudas" count="0" hidden="1"/>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y uniqueName="[Measures].[Suma de Monto]" caption="Suma de Monto" measure="1" displayFolder="" measureGroup="Transacciones_Crudas" count="0" hidden="1"/>
  </cacheHierarchies>
  <kpis count="0"/>
  <extLst>
    <ext xmlns:x14="http://schemas.microsoft.com/office/spreadsheetml/2009/9/main" uri="{725AE2AE-9491-48be-B2B4-4EB974FC3084}">
      <x14:pivotCacheDefinition slicerData="1" pivotCacheId="1181215427"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utor" refreshedDate="46287.497187037035" backgroundQuery="1" createdVersion="3" refreshedVersion="8" minRefreshableVersion="3" recordCount="0" supportSubquery="1" supportAdvancedDrill="1" xr:uid="{010386D0-5488-4747-9980-09492F9E4116}">
  <cacheSource type="external" connectionId="6">
    <extLst>
      <ext xmlns:x14="http://schemas.microsoft.com/office/spreadsheetml/2009/9/main" uri="{F057638F-6D5F-4e77-A914-E7F072B9BCA8}">
        <x14:sourceConnection name="ThisWorkbookDataModel"/>
      </ext>
    </extLst>
  </cacheSource>
  <cacheFields count="0"/>
  <cacheHierarchies count="34">
    <cacheHierarchy uniqueName="[Dim_Calendario].[Fecha]" caption="Fecha" attribute="1" time="1" defaultMemberUniqueName="[Dim_Calendario].[Fecha].[All]" allUniqueName="[Dim_Calendario].[Fecha].[All]" dimensionUniqueName="[Dim_Calendario]" displayFolder="" count="0" memberValueDatatype="7" unbalanced="0"/>
    <cacheHierarchy uniqueName="[Dim_Calendario].[Año]" caption="Año" attribute="1" defaultMemberUniqueName="[Dim_Calendario].[Año].[All]" allUniqueName="[Dim_Calendario].[Año].[All]" dimensionUniqueName="[Dim_Calendario]" displayFolder="" count="2" memberValueDatatype="20" unbalanced="0"/>
    <cacheHierarchy uniqueName="[Dim_Calendario].[Mes]" caption="Mes" attribute="1" defaultMemberUniqueName="[Dim_Calendario].[Mes].[All]" allUniqueName="[Dim_Calendario].[Mes].[All]" dimensionUniqueName="[Dim_Calendario]" displayFolder="" count="0" memberValueDatatype="20" unbalanced="0"/>
    <cacheHierarchy uniqueName="[Dim_Calendario].[Nombre_Mes]" caption="Nombre_Mes" attribute="1" defaultMemberUniqueName="[Dim_Calendario].[Nombre_Mes].[All]" allUniqueName="[Dim_Calendario].[Nombre_Mes].[All]" dimensionUniqueName="[Dim_Calendario]" displayFolder="" count="0" memberValueDatatype="130" unbalanced="0"/>
    <cacheHierarchy uniqueName="[Dim_Calendario].[Trimestre]" caption="Trimestre" attribute="1" defaultMemberUniqueName="[Dim_Calendario].[Trimestre].[All]" allUniqueName="[Dim_Calendario].[Trimestre].[All]" dimensionUniqueName="[Dim_Calendario]" displayFolder="" count="0" memberValueDatatype="130" unbalanced="0"/>
    <cacheHierarchy uniqueName="[Dim_Productos].[ID_Insumo]" caption="ID_Insumo" attribute="1" defaultMemberUniqueName="[Dim_Productos].[ID_Insumo].[All]" allUniqueName="[Dim_Productos].[ID_Insumo].[All]" dimensionUniqueName="[Dim_Productos]" displayFolder="" count="0" memberValueDatatype="130" unbalanced="0"/>
    <cacheHierarchy uniqueName="[Dim_Productos].[Insumo]" caption="Insumo" attribute="1" defaultMemberUniqueName="[Dim_Productos].[Insumo].[All]" allUniqueName="[Dim_Productos].[Insumo].[All]" dimensionUniqueName="[Dim_Productos]" displayFolder="" count="0" memberValueDatatype="130" unbalanced="0"/>
    <cacheHierarchy uniqueName="[Dim_Productos].[Categoría]" caption="Categoría" attribute="1" defaultMemberUniqueName="[Dim_Productos].[Categoría].[All]" allUniqueName="[Dim_Productos].[Categoría].[All]" dimensionUniqueName="[Dim_Productos]" displayFolder="" count="2" memberValueDatatype="130" unbalanced="0"/>
    <cacheHierarchy uniqueName="[Dim_Sanatorios].[ID_Sanatorio]" caption="ID_Sanatorio" attribute="1" defaultMemberUniqueName="[Dim_Sanatorios].[ID_Sanatorio].[All]" allUniqueName="[Dim_Sanatorios].[ID_Sanatorio].[All]" dimensionUniqueName="[Dim_Sanatorios]" displayFolder="" count="0" memberValueDatatype="130" unbalanced="0"/>
    <cacheHierarchy uniqueName="[Dim_Sanatorios].[Sanatorio]" caption="Sanatorio" attribute="1" defaultMemberUniqueName="[Dim_Sanatorios].[Sanatorio].[All]" allUniqueName="[Dim_Sanatorios].[Sanatorio].[All]" dimensionUniqueName="[Dim_Sanatorios]" displayFolder="" count="0" memberValueDatatype="130" unbalanced="0"/>
    <cacheHierarchy uniqueName="[Dim_Sanatorios].[Región]" caption="Región" attribute="1" defaultMemberUniqueName="[Dim_Sanatorios].[Región].[All]" allUniqueName="[Dim_Sanatorios].[Región].[All]" dimensionUniqueName="[Dim_Sanatorios]" displayFolder="" count="2" memberValueDatatype="130" unbalanced="0"/>
    <cacheHierarchy uniqueName="[Fact_Transacciones 1].[Fecha]" caption="Fecha" attribute="1" time="1" defaultMemberUniqueName="[Fact_Transacciones 1].[Fecha].[All]" allUniqueName="[Fact_Transacciones 1].[Fecha].[All]" dimensionUniqueName="[Fact_Transacciones 1]" displayFolder="" count="0" memberValueDatatype="7" unbalanced="0"/>
    <cacheHierarchy uniqueName="[Fact_Transacciones 1].[ID_Sanatorio]" caption="ID_Sanatorio" attribute="1" defaultMemberUniqueName="[Fact_Transacciones 1].[ID_Sanatorio].[All]" allUniqueName="[Fact_Transacciones 1].[ID_Sanatorio].[All]" dimensionUniqueName="[Fact_Transacciones 1]" displayFolder="" count="0" memberValueDatatype="130" unbalanced="0"/>
    <cacheHierarchy uniqueName="[Fact_Transacciones 1].[Sanatorio]" caption="Sanatorio" attribute="1" defaultMemberUniqueName="[Fact_Transacciones 1].[Sanatorio].[All]" allUniqueName="[Fact_Transacciones 1].[Sanatorio].[All]" dimensionUniqueName="[Fact_Transacciones 1]" displayFolder="" count="0" memberValueDatatype="130" unbalanced="0"/>
    <cacheHierarchy uniqueName="[Fact_Transacciones 1].[Región]" caption="Región" attribute="1" defaultMemberUniqueName="[Fact_Transacciones 1].[Región].[All]" allUniqueName="[Fact_Transacciones 1].[Región].[All]" dimensionUniqueName="[Fact_Transacciones 1]" displayFolder="" count="0" memberValueDatatype="130" unbalanced="0"/>
    <cacheHierarchy uniqueName="[Fact_Transacciones 1].[ID_Insumo]" caption="ID_Insumo" attribute="1" defaultMemberUniqueName="[Fact_Transacciones 1].[ID_Insumo].[All]" allUniqueName="[Fact_Transacciones 1].[ID_Insumo].[All]" dimensionUniqueName="[Fact_Transacciones 1]" displayFolder="" count="0" memberValueDatatype="130" unbalanced="0"/>
    <cacheHierarchy uniqueName="[Fact_Transacciones 1].[Insumo]" caption="Insumo" attribute="1" defaultMemberUniqueName="[Fact_Transacciones 1].[Insumo].[All]" allUniqueName="[Fact_Transacciones 1].[Insumo].[All]" dimensionUniqueName="[Fact_Transacciones 1]" displayFolder="" count="0" memberValueDatatype="130" unbalanced="0"/>
    <cacheHierarchy uniqueName="[Fact_Transacciones 1].[Categoría]" caption="Categoría" attribute="1" defaultMemberUniqueName="[Fact_Transacciones 1].[Categoría].[All]" allUniqueName="[Fact_Transacciones 1].[Categoría].[All]" dimensionUniqueName="[Fact_Transacciones 1]" displayFolder="" count="0" memberValueDatatype="130" unbalanced="0"/>
    <cacheHierarchy uniqueName="[Fact_Transacciones 1].[Cantidad]" caption="Cantidad" attribute="1" defaultMemberUniqueName="[Fact_Transacciones 1].[Cantidad].[All]" allUniqueName="[Fact_Transacciones 1].[Cantidad].[All]" dimensionUniqueName="[Fact_Transacciones 1]" displayFolder="" count="0" memberValueDatatype="20" unbalanced="0"/>
    <cacheHierarchy uniqueName="[Fact_Transacciones 1].[Precio_Unitario]" caption="Precio_Unitario" attribute="1" defaultMemberUniqueName="[Fact_Transacciones 1].[Precio_Unitario].[All]" allUniqueName="[Fact_Transacciones 1].[Precio_Unitario].[All]" dimensionUniqueName="[Fact_Transacciones 1]" displayFolder="" count="0" memberValueDatatype="5" unbalanced="0"/>
    <cacheHierarchy uniqueName="[Fact_Transacciones 1].[Monto]" caption="Monto" attribute="1" defaultMemberUniqueName="[Fact_Transacciones 1].[Monto].[All]" allUniqueName="[Fact_Transacciones 1].[Monto].[All]" dimensionUniqueName="[Fact_Transacciones 1]" displayFolder="" count="0" memberValueDatatype="5" unbalanced="0"/>
    <cacheHierarchy uniqueName="[Fact_Transacciones 1].[Ventas Totales]" caption="Ventas Totales" attribute="1" defaultMemberUniqueName="[Fact_Transacciones 1].[Ventas Totales].[All]" allUniqueName="[Fact_Transacciones 1].[Ventas Totales].[All]" dimensionUniqueName="[Fact_Transacciones 1]" displayFolder="" count="0" memberValueDatatype="20" unbalanced="0"/>
    <cacheHierarchy uniqueName="[Measures].[Suma de Ventas Totales]" caption="Suma de Ventas Totales" measure="1" displayFolder="" measureGroup="Fact_Transacciones 1" count="0">
      <extLst>
        <ext xmlns:x15="http://schemas.microsoft.com/office/spreadsheetml/2010/11/main" uri="{B97F6D7D-B522-45F9-BDA1-12C45D357490}">
          <x15:cacheHierarchy aggregatedColumn="21"/>
        </ext>
      </extLst>
    </cacheHierarchy>
    <cacheHierarchy uniqueName="[Measures].[Totales]" caption="Totales" measure="1" displayFolder="" measureGroup="Fact_Transacciones 1" count="0"/>
    <cacheHierarchy uniqueName="[Measures].[Precio Promedio Ponderado]" caption="Precio Promedio Ponderado" measure="1" displayFolder="" measureGroup="Fact_Transacciones 1" count="0"/>
    <cacheHierarchy uniqueName="[Measures].[Cantidad Total]" caption="Cantidad Total" measure="1" displayFolder="" measureGroup="Fact_Transacciones 1" count="0"/>
    <cacheHierarchy uniqueName="[Measures].[Ventas Año Anterior]" caption="Ventas Año Anterior" measure="1" displayFolder="" measureGroup="Fact_Transacciones 1" count="0"/>
    <cacheHierarchy uniqueName="[Measures].[Crecimiento YoY]" caption="Crecimiento YoY" measure="1" displayFolder="" measureGroup="Fact_Transacciones 1" count="0"/>
    <cacheHierarchy uniqueName="[Measures].[Precio_Promedio_Año_Anterior]" caption="Precio_Promedio_Año_Anterior" measure="1" displayFolder="" measureGroup="Fact_Transacciones 1" count="0"/>
    <cacheHierarchy uniqueName="[Measures].[__XL_Count Dim_Sanatorios]" caption="__XL_Count Dim_Sanatorios" measure="1" displayFolder="" measureGroup="Dim_Sanatorios" count="0" hidden="1"/>
    <cacheHierarchy uniqueName="[Measures].[__XL_Count Dim_Productos]" caption="__XL_Count Dim_Productos" measure="1" displayFolder="" measureGroup="Dim_Productos" count="0" hidden="1"/>
    <cacheHierarchy uniqueName="[Measures].[__XL_Count Dim_Calendario]" caption="__XL_Count Dim_Calendario" measure="1" displayFolder="" measureGroup="Dim_Calendario" count="0" hidden="1"/>
    <cacheHierarchy uniqueName="[Measures].[__XL_Count Fact_Transacciones 1]" caption="__XL_Count Fact_Transacciones 1" measure="1" displayFolder="" measureGroup="Fact_Transaccione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1817168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3" cacheId="0" applyNumberFormats="0" applyBorderFormats="0" applyFontFormats="0" applyPatternFormats="0" applyAlignmentFormats="0" applyWidthHeightFormats="1" dataCaption="Valores" tag="6e690fb9-b7ea-4109-805b-3a9909235e63" updatedVersion="8" minRefreshableVersion="3" useAutoFormatting="1" itemPrintTitles="1" createdVersion="6" indent="0" outline="1" outlineData="1" multipleFieldFilters="0">
  <location ref="A24:B30" firstHeaderRow="1" firstDataRow="1" firstDataCol="1"/>
  <pivotFields count="3">
    <pivotField dataField="1" showAll="0"/>
    <pivotField axis="axisRow" allDrilled="1" showAll="0" dataSourceSort="1" defaultAttributeDrillState="1">
      <items count="6">
        <item x="0"/>
        <item x="1"/>
        <item x="2"/>
        <item x="3"/>
        <item x="4"/>
        <item t="default"/>
      </items>
    </pivotField>
    <pivotField allDrilled="1" showAll="0" dataSourceSort="1" defaultAttributeDrillState="1"/>
  </pivotFields>
  <rowFields count="1">
    <field x="1"/>
  </rowFields>
  <rowItems count="6">
    <i>
      <x/>
    </i>
    <i>
      <x v="1"/>
    </i>
    <i>
      <x v="2"/>
    </i>
    <i>
      <x v="3"/>
    </i>
    <i>
      <x v="4"/>
    </i>
    <i t="grand">
      <x/>
    </i>
  </rowItems>
  <colItems count="1">
    <i/>
  </colItems>
  <dataFields count="1">
    <dataField name="Suma de Monto" fld="0" baseField="0" baseItem="0" numFmtId="44"/>
  </dataFields>
  <formats count="1">
    <format dxfId="87">
      <pivotArea outline="0" collapsedLevelsAreSubtotals="1" fieldPosition="0"/>
    </format>
  </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Transacciones_Crudas]"/>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1" cacheId="1" applyNumberFormats="0" applyBorderFormats="0" applyFontFormats="0" applyPatternFormats="0" applyAlignmentFormats="0" applyWidthHeightFormats="1" dataCaption="Valores" updatedVersion="8" minRefreshableVersion="3" useAutoFormatting="1" itemPrintTitles="1" createdVersion="6" indent="0" outline="1" outlineData="1" multipleFieldFilters="0" chartFormat="1">
  <location ref="A15:B21" firstHeaderRow="1" firstDataRow="1" firstDataCol="1"/>
  <pivotFields count="3">
    <pivotField axis="axisRow" allDrilled="1" showAll="0" dataSourceSort="1" defaultAttributeDrillState="1">
      <items count="6">
        <item x="0"/>
        <item x="1"/>
        <item x="2"/>
        <item x="3"/>
        <item x="4"/>
        <item t="default"/>
      </items>
    </pivotField>
    <pivotField dataField="1" showAll="0"/>
    <pivotField allDrilled="1" showAll="0" dataSourceSort="1" defaultAttributeDrillState="1"/>
  </pivotFields>
  <rowFields count="1">
    <field x="0"/>
  </rowFields>
  <rowItems count="6">
    <i>
      <x/>
    </i>
    <i>
      <x v="1"/>
    </i>
    <i>
      <x v="2"/>
    </i>
    <i>
      <x v="3"/>
    </i>
    <i>
      <x v="4"/>
    </i>
    <i t="grand">
      <x/>
    </i>
  </rowItems>
  <colItems count="1">
    <i/>
  </colItems>
  <dataFields count="1">
    <dataField name="Suma de Monto" fld="1" baseField="0" baseItem="0" numFmtId="44"/>
  </dataFields>
  <formats count="1">
    <format dxfId="88">
      <pivotArea outline="0" collapsedLevelsAreSubtotals="1" fieldPosition="0"/>
    </format>
  </formats>
  <chartFormats count="1">
    <chartFormat chart="0" format="1" series="1">
      <pivotArea type="data" outline="0" fieldPosition="0">
        <references count="1">
          <reference field="4294967294" count="1" selected="0">
            <x v="0"/>
          </reference>
        </references>
      </pivotArea>
    </chartFormat>
  </chartFormats>
  <pivotHierarchies count="3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Transacciones_Cruda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187381-1136-44E3-8C55-8D8AFB847684}" name="TablaDinámica1" cacheId="2" applyNumberFormats="0" applyBorderFormats="0" applyFontFormats="0" applyPatternFormats="0" applyAlignmentFormats="0" applyWidthHeightFormats="1" dataCaption="Valores" tag="8ce248d8-0c05-4b91-88ed-729fd7629ebd" updatedVersion="8" minRefreshableVersion="3" useAutoFormatting="1" subtotalHiddenItems="1" itemPrintTitles="1" createdVersion="8" indent="0" outline="1" outlineData="1" multipleFieldFilters="0">
  <location ref="R5:T22" firstHeaderRow="1" firstDataRow="1" firstDataCol="0"/>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ransaccione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40B280-0C54-4482-8943-CC8851CA7AA6}" name="PT_Ventas_Region" cacheId="6" applyNumberFormats="0" applyBorderFormats="0" applyFontFormats="0" applyPatternFormats="0" applyAlignmentFormats="0" applyWidthHeightFormats="1" dataCaption="Valores" tag="d635a6f8-48c2-4334-aedd-dabc38d4b82a" updatedVersion="8" minRefreshableVersion="3" useAutoFormatting="1" subtotalHiddenItems="1" itemPrintTitles="1" createdVersion="8" indent="0" outline="1" outlineData="1" multipleFieldFilters="0" chartFormat="3">
  <location ref="D28:G34" firstHeaderRow="0"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8">
    <format dxfId="45">
      <pivotArea collapsedLevelsAreSubtotals="1" fieldPosition="0">
        <references count="1">
          <reference field="0" count="0"/>
        </references>
      </pivotArea>
    </format>
    <format dxfId="44">
      <pivotArea dataOnly="0" labelOnly="1" fieldPosition="0">
        <references count="1">
          <reference field="0" count="0"/>
        </references>
      </pivotArea>
    </format>
    <format dxfId="35">
      <pivotArea type="all" dataOnly="0" outline="0" fieldPosition="0"/>
    </format>
    <format dxfId="34">
      <pivotArea outline="0" collapsedLevelsAreSubtotals="1" fieldPosition="0"/>
    </format>
    <format dxfId="33">
      <pivotArea field="0" type="button" dataOnly="0" labelOnly="1" outline="0" axis="axisRow" fieldPosition="0"/>
    </format>
    <format dxfId="32">
      <pivotArea dataOnly="0" labelOnly="1" fieldPosition="0">
        <references count="1">
          <reference field="0" count="0"/>
        </references>
      </pivotArea>
    </format>
    <format dxfId="31">
      <pivotArea dataOnly="0" labelOnly="1" grandRow="1" outline="0" fieldPosition="0"/>
    </format>
    <format dxfId="30">
      <pivotArea dataOnly="0" labelOnly="1" outline="0" fieldPosition="0">
        <references count="1">
          <reference field="4294967294" count="3">
            <x v="0"/>
            <x v="1"/>
            <x v="2"/>
          </reference>
        </references>
      </pivotArea>
    </format>
  </formats>
  <chartFormats count="3">
    <chartFormat chart="1"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1"/>
          </reference>
        </references>
      </pivotArea>
    </chartFormat>
    <chartFormat chart="1" format="3" series="1">
      <pivotArea type="data" outline="0" fieldPosition="0">
        <references count="1">
          <reference field="4294967294" count="1" selected="0">
            <x v="2"/>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anatorios]"/>
        <x15:activeTabTopLevelEntity name="[Fact_Transacciones 1]"/>
        <x15:activeTabTopLevelEntity name="[Dim_Productos]"/>
        <x15:activeTabTopLevelEntity name="[Dim_Calendar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84EBE6-7B16-4C4D-A1D0-3008AAC6A555}" name="TablaDinámica5" cacheId="3" applyNumberFormats="0" applyBorderFormats="0" applyFontFormats="0" applyPatternFormats="0" applyAlignmentFormats="0" applyWidthHeightFormats="1" dataCaption="Valores" tag="7fe854fa-8d9a-4fdc-8e56-a4840beae311" updatedVersion="8" minRefreshableVersion="3" useAutoFormatting="1" subtotalHiddenItems="1" itemPrintTitles="1" createdVersion="8" indent="0" outline="1" outlineData="1" multipleFieldFilters="0">
  <location ref="D36:F45" firstHeaderRow="0" firstDataRow="1" firstDataCol="1"/>
  <pivotFields count="3">
    <pivotField axis="axisRow" allDrilled="1" subtotalTop="0" showAll="0" defaultSubtotal="0" defaultAttributeDrillState="1">
      <items count="8">
        <item x="0"/>
        <item x="1"/>
        <item x="2"/>
        <item x="3"/>
        <item x="4"/>
        <item x="5"/>
        <item x="6"/>
        <item x="7"/>
      </items>
    </pivotField>
    <pivotField dataField="1" subtotalTop="0" showAll="0" defaultSubtotal="0"/>
    <pivotField dataField="1" subtotalTop="0" showAll="0" defaultSubtotal="0"/>
  </pivotFields>
  <rowFields count="1">
    <field x="0"/>
  </rowFields>
  <rowItems count="9">
    <i>
      <x/>
    </i>
    <i>
      <x v="1"/>
    </i>
    <i>
      <x v="2"/>
    </i>
    <i>
      <x v="3"/>
    </i>
    <i>
      <x v="4"/>
    </i>
    <i>
      <x v="5"/>
    </i>
    <i>
      <x v="6"/>
    </i>
    <i>
      <x v="7"/>
    </i>
    <i t="grand">
      <x/>
    </i>
  </rowItems>
  <colFields count="1">
    <field x="-2"/>
  </colFields>
  <colItems count="2">
    <i>
      <x/>
    </i>
    <i i="1">
      <x v="1"/>
    </i>
  </colItems>
  <dataFields count="2">
    <dataField fld="1" subtotal="count" baseField="0" baseItem="0"/>
    <dataField fld="2" subtotal="count" baseField="0" baseItem="0"/>
  </dataFields>
  <formats count="8">
    <format dxfId="47">
      <pivotArea collapsedLevelsAreSubtotals="1" fieldPosition="0">
        <references count="1">
          <reference field="0" count="0"/>
        </references>
      </pivotArea>
    </format>
    <format dxfId="46">
      <pivotArea dataOnly="0" labelOnly="1" fieldPosition="0">
        <references count="1">
          <reference field="0" count="0"/>
        </references>
      </pivotArea>
    </format>
    <format dxfId="29">
      <pivotArea type="all" dataOnly="0" outline="0" fieldPosition="0"/>
    </format>
    <format dxfId="28">
      <pivotArea outline="0" collapsedLevelsAreSubtotals="1" fieldPosition="0"/>
    </format>
    <format dxfId="27">
      <pivotArea field="0" type="button" dataOnly="0" labelOnly="1" outline="0" axis="axisRow" fieldPosition="0"/>
    </format>
    <format dxfId="26">
      <pivotArea dataOnly="0" labelOnly="1" fieldPosition="0">
        <references count="1">
          <reference field="0" count="0"/>
        </references>
      </pivotArea>
    </format>
    <format dxfId="25">
      <pivotArea dataOnly="0" labelOnly="1" grandRow="1" outline="0" fieldPosition="0"/>
    </format>
    <format dxfId="24">
      <pivotArea dataOnly="0" labelOnly="1" outline="0" fieldPosition="0">
        <references count="1">
          <reference field="4294967294" count="2">
            <x v="0"/>
            <x v="1"/>
          </reference>
        </references>
      </pivotArea>
    </format>
  </formats>
  <pivotHierarchies count="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Sanatorios]"/>
        <x15:activeTabTopLevelEntity name="[Fact_Transacciones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6034E5-9C0F-4B41-ADDB-63EC1830F5C3}" name="Ventasxmes" cacheId="5"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2">
  <location ref="A20:B45" firstHeaderRow="1" firstDataRow="1" firstDataCol="1"/>
  <pivotFields count="6">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1"/>
    <field x="2"/>
  </rowFields>
  <rowItems count="25">
    <i>
      <x/>
    </i>
    <i r="1">
      <x/>
    </i>
    <i>
      <x v="1"/>
    </i>
    <i r="1">
      <x v="1"/>
    </i>
    <i>
      <x v="2"/>
    </i>
    <i r="1">
      <x v="2"/>
    </i>
    <i>
      <x v="3"/>
    </i>
    <i r="1">
      <x v="3"/>
    </i>
    <i>
      <x v="4"/>
    </i>
    <i r="1">
      <x v="4"/>
    </i>
    <i>
      <x v="5"/>
    </i>
    <i r="1">
      <x v="5"/>
    </i>
    <i>
      <x v="6"/>
    </i>
    <i r="1">
      <x v="6"/>
    </i>
    <i>
      <x v="7"/>
    </i>
    <i r="1">
      <x v="7"/>
    </i>
    <i>
      <x v="8"/>
    </i>
    <i r="1">
      <x v="8"/>
    </i>
    <i>
      <x v="9"/>
    </i>
    <i r="1">
      <x v="9"/>
    </i>
    <i>
      <x v="10"/>
    </i>
    <i r="1">
      <x v="10"/>
    </i>
    <i>
      <x v="11"/>
    </i>
    <i r="1">
      <x v="11"/>
    </i>
    <i t="grand">
      <x/>
    </i>
  </rowItems>
  <colItems count="1">
    <i/>
  </colItems>
  <dataFields count="1">
    <dataField fld="0" subtotal="count" baseField="0" baseItem="0"/>
  </dataFields>
  <formats count="55">
    <format dxfId="84">
      <pivotArea collapsedLevelsAreSubtotals="1" fieldPosition="0">
        <references count="1">
          <reference field="1" count="1">
            <x v="0"/>
          </reference>
        </references>
      </pivotArea>
    </format>
    <format dxfId="83">
      <pivotArea collapsedLevelsAreSubtotals="1" fieldPosition="0">
        <references count="2">
          <reference field="1" count="1" selected="0">
            <x v="0"/>
          </reference>
          <reference field="2" count="1">
            <x v="0"/>
          </reference>
        </references>
      </pivotArea>
    </format>
    <format dxfId="82">
      <pivotArea collapsedLevelsAreSubtotals="1" fieldPosition="0">
        <references count="1">
          <reference field="1" count="1">
            <x v="1"/>
          </reference>
        </references>
      </pivotArea>
    </format>
    <format dxfId="81">
      <pivotArea collapsedLevelsAreSubtotals="1" fieldPosition="0">
        <references count="2">
          <reference field="1" count="1" selected="0">
            <x v="1"/>
          </reference>
          <reference field="2" count="1">
            <x v="1"/>
          </reference>
        </references>
      </pivotArea>
    </format>
    <format dxfId="80">
      <pivotArea collapsedLevelsAreSubtotals="1" fieldPosition="0">
        <references count="1">
          <reference field="1" count="1">
            <x v="2"/>
          </reference>
        </references>
      </pivotArea>
    </format>
    <format dxfId="79">
      <pivotArea collapsedLevelsAreSubtotals="1" fieldPosition="0">
        <references count="2">
          <reference field="1" count="1" selected="0">
            <x v="2"/>
          </reference>
          <reference field="2" count="1">
            <x v="2"/>
          </reference>
        </references>
      </pivotArea>
    </format>
    <format dxfId="78">
      <pivotArea collapsedLevelsAreSubtotals="1" fieldPosition="0">
        <references count="1">
          <reference field="1" count="1">
            <x v="3"/>
          </reference>
        </references>
      </pivotArea>
    </format>
    <format dxfId="77">
      <pivotArea collapsedLevelsAreSubtotals="1" fieldPosition="0">
        <references count="2">
          <reference field="1" count="1" selected="0">
            <x v="3"/>
          </reference>
          <reference field="2" count="1">
            <x v="3"/>
          </reference>
        </references>
      </pivotArea>
    </format>
    <format dxfId="76">
      <pivotArea collapsedLevelsAreSubtotals="1" fieldPosition="0">
        <references count="1">
          <reference field="1" count="1">
            <x v="4"/>
          </reference>
        </references>
      </pivotArea>
    </format>
    <format dxfId="75">
      <pivotArea collapsedLevelsAreSubtotals="1" fieldPosition="0">
        <references count="2">
          <reference field="1" count="1" selected="0">
            <x v="4"/>
          </reference>
          <reference field="2" count="1">
            <x v="4"/>
          </reference>
        </references>
      </pivotArea>
    </format>
    <format dxfId="74">
      <pivotArea collapsedLevelsAreSubtotals="1" fieldPosition="0">
        <references count="1">
          <reference field="1" count="1">
            <x v="5"/>
          </reference>
        </references>
      </pivotArea>
    </format>
    <format dxfId="73">
      <pivotArea collapsedLevelsAreSubtotals="1" fieldPosition="0">
        <references count="2">
          <reference field="1" count="1" selected="0">
            <x v="5"/>
          </reference>
          <reference field="2" count="1">
            <x v="5"/>
          </reference>
        </references>
      </pivotArea>
    </format>
    <format dxfId="72">
      <pivotArea collapsedLevelsAreSubtotals="1" fieldPosition="0">
        <references count="1">
          <reference field="1" count="1">
            <x v="6"/>
          </reference>
        </references>
      </pivotArea>
    </format>
    <format dxfId="71">
      <pivotArea collapsedLevelsAreSubtotals="1" fieldPosition="0">
        <references count="2">
          <reference field="1" count="1" selected="0">
            <x v="6"/>
          </reference>
          <reference field="2" count="1">
            <x v="6"/>
          </reference>
        </references>
      </pivotArea>
    </format>
    <format dxfId="70">
      <pivotArea collapsedLevelsAreSubtotals="1" fieldPosition="0">
        <references count="1">
          <reference field="1" count="1">
            <x v="7"/>
          </reference>
        </references>
      </pivotArea>
    </format>
    <format dxfId="69">
      <pivotArea collapsedLevelsAreSubtotals="1" fieldPosition="0">
        <references count="2">
          <reference field="1" count="1" selected="0">
            <x v="7"/>
          </reference>
          <reference field="2" count="1">
            <x v="7"/>
          </reference>
        </references>
      </pivotArea>
    </format>
    <format dxfId="68">
      <pivotArea collapsedLevelsAreSubtotals="1" fieldPosition="0">
        <references count="1">
          <reference field="1" count="1">
            <x v="8"/>
          </reference>
        </references>
      </pivotArea>
    </format>
    <format dxfId="67">
      <pivotArea collapsedLevelsAreSubtotals="1" fieldPosition="0">
        <references count="2">
          <reference field="1" count="1" selected="0">
            <x v="8"/>
          </reference>
          <reference field="2" count="1">
            <x v="8"/>
          </reference>
        </references>
      </pivotArea>
    </format>
    <format dxfId="66">
      <pivotArea collapsedLevelsAreSubtotals="1" fieldPosition="0">
        <references count="1">
          <reference field="1" count="1">
            <x v="9"/>
          </reference>
        </references>
      </pivotArea>
    </format>
    <format dxfId="65">
      <pivotArea collapsedLevelsAreSubtotals="1" fieldPosition="0">
        <references count="2">
          <reference field="1" count="1" selected="0">
            <x v="9"/>
          </reference>
          <reference field="2" count="1">
            <x v="9"/>
          </reference>
        </references>
      </pivotArea>
    </format>
    <format dxfId="64">
      <pivotArea collapsedLevelsAreSubtotals="1" fieldPosition="0">
        <references count="1">
          <reference field="1" count="1">
            <x v="10"/>
          </reference>
        </references>
      </pivotArea>
    </format>
    <format dxfId="63">
      <pivotArea collapsedLevelsAreSubtotals="1" fieldPosition="0">
        <references count="2">
          <reference field="1" count="1" selected="0">
            <x v="10"/>
          </reference>
          <reference field="2" count="1">
            <x v="10"/>
          </reference>
        </references>
      </pivotArea>
    </format>
    <format dxfId="62">
      <pivotArea collapsedLevelsAreSubtotals="1" fieldPosition="0">
        <references count="1">
          <reference field="1" count="1">
            <x v="11"/>
          </reference>
        </references>
      </pivotArea>
    </format>
    <format dxfId="61">
      <pivotArea collapsedLevelsAreSubtotals="1" fieldPosition="0">
        <references count="2">
          <reference field="1" count="1" selected="0">
            <x v="11"/>
          </reference>
          <reference field="2" count="1">
            <x v="11"/>
          </reference>
        </references>
      </pivotArea>
    </format>
    <format dxfId="60">
      <pivotArea dataOnly="0" labelOnly="1" fieldPosition="0">
        <references count="1">
          <reference field="1" count="0"/>
        </references>
      </pivotArea>
    </format>
    <format dxfId="59">
      <pivotArea dataOnly="0" labelOnly="1" fieldPosition="0">
        <references count="2">
          <reference field="1" count="1" selected="0">
            <x v="0"/>
          </reference>
          <reference field="2" count="1">
            <x v="0"/>
          </reference>
        </references>
      </pivotArea>
    </format>
    <format dxfId="58">
      <pivotArea dataOnly="0" labelOnly="1" fieldPosition="0">
        <references count="2">
          <reference field="1" count="1" selected="0">
            <x v="1"/>
          </reference>
          <reference field="2" count="1">
            <x v="1"/>
          </reference>
        </references>
      </pivotArea>
    </format>
    <format dxfId="57">
      <pivotArea dataOnly="0" labelOnly="1" fieldPosition="0">
        <references count="2">
          <reference field="1" count="1" selected="0">
            <x v="2"/>
          </reference>
          <reference field="2" count="1">
            <x v="2"/>
          </reference>
        </references>
      </pivotArea>
    </format>
    <format dxfId="56">
      <pivotArea dataOnly="0" labelOnly="1" fieldPosition="0">
        <references count="2">
          <reference field="1" count="1" selected="0">
            <x v="3"/>
          </reference>
          <reference field="2" count="1">
            <x v="3"/>
          </reference>
        </references>
      </pivotArea>
    </format>
    <format dxfId="55">
      <pivotArea dataOnly="0" labelOnly="1" fieldPosition="0">
        <references count="2">
          <reference field="1" count="1" selected="0">
            <x v="4"/>
          </reference>
          <reference field="2" count="1">
            <x v="4"/>
          </reference>
        </references>
      </pivotArea>
    </format>
    <format dxfId="54">
      <pivotArea dataOnly="0" labelOnly="1" fieldPosition="0">
        <references count="2">
          <reference field="1" count="1" selected="0">
            <x v="5"/>
          </reference>
          <reference field="2" count="1">
            <x v="5"/>
          </reference>
        </references>
      </pivotArea>
    </format>
    <format dxfId="53">
      <pivotArea dataOnly="0" labelOnly="1" fieldPosition="0">
        <references count="2">
          <reference field="1" count="1" selected="0">
            <x v="6"/>
          </reference>
          <reference field="2" count="1">
            <x v="6"/>
          </reference>
        </references>
      </pivotArea>
    </format>
    <format dxfId="52">
      <pivotArea dataOnly="0" labelOnly="1" fieldPosition="0">
        <references count="2">
          <reference field="1" count="1" selected="0">
            <x v="7"/>
          </reference>
          <reference field="2" count="1">
            <x v="7"/>
          </reference>
        </references>
      </pivotArea>
    </format>
    <format dxfId="51">
      <pivotArea dataOnly="0" labelOnly="1" fieldPosition="0">
        <references count="2">
          <reference field="1" count="1" selected="0">
            <x v="8"/>
          </reference>
          <reference field="2" count="1">
            <x v="8"/>
          </reference>
        </references>
      </pivotArea>
    </format>
    <format dxfId="50">
      <pivotArea dataOnly="0" labelOnly="1" fieldPosition="0">
        <references count="2">
          <reference field="1" count="1" selected="0">
            <x v="9"/>
          </reference>
          <reference field="2" count="1">
            <x v="9"/>
          </reference>
        </references>
      </pivotArea>
    </format>
    <format dxfId="49">
      <pivotArea dataOnly="0" labelOnly="1" fieldPosition="0">
        <references count="2">
          <reference field="1" count="1" selected="0">
            <x v="10"/>
          </reference>
          <reference field="2" count="1">
            <x v="10"/>
          </reference>
        </references>
      </pivotArea>
    </format>
    <format dxfId="48">
      <pivotArea dataOnly="0" labelOnly="1" fieldPosition="0">
        <references count="2">
          <reference field="1" count="1" selected="0">
            <x v="11"/>
          </reference>
          <reference field="2" count="1">
            <x v="11"/>
          </reference>
        </references>
      </pivotArea>
    </format>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0"/>
        </references>
      </pivotArea>
    </format>
    <format dxfId="19">
      <pivotArea dataOnly="0" labelOnly="1" grandRow="1" outline="0" fieldPosition="0"/>
    </format>
    <format dxfId="18">
      <pivotArea dataOnly="0" labelOnly="1" fieldPosition="0">
        <references count="2">
          <reference field="1" count="1" selected="0">
            <x v="0"/>
          </reference>
          <reference field="2" count="1">
            <x v="0"/>
          </reference>
        </references>
      </pivotArea>
    </format>
    <format dxfId="17">
      <pivotArea dataOnly="0" labelOnly="1" fieldPosition="0">
        <references count="2">
          <reference field="1" count="1" selected="0">
            <x v="1"/>
          </reference>
          <reference field="2" count="1">
            <x v="1"/>
          </reference>
        </references>
      </pivotArea>
    </format>
    <format dxfId="16">
      <pivotArea dataOnly="0" labelOnly="1" fieldPosition="0">
        <references count="2">
          <reference field="1" count="1" selected="0">
            <x v="2"/>
          </reference>
          <reference field="2" count="1">
            <x v="2"/>
          </reference>
        </references>
      </pivotArea>
    </format>
    <format dxfId="15">
      <pivotArea dataOnly="0" labelOnly="1" fieldPosition="0">
        <references count="2">
          <reference field="1" count="1" selected="0">
            <x v="3"/>
          </reference>
          <reference field="2" count="1">
            <x v="3"/>
          </reference>
        </references>
      </pivotArea>
    </format>
    <format dxfId="14">
      <pivotArea dataOnly="0" labelOnly="1" fieldPosition="0">
        <references count="2">
          <reference field="1" count="1" selected="0">
            <x v="4"/>
          </reference>
          <reference field="2" count="1">
            <x v="4"/>
          </reference>
        </references>
      </pivotArea>
    </format>
    <format dxfId="13">
      <pivotArea dataOnly="0" labelOnly="1" fieldPosition="0">
        <references count="2">
          <reference field="1" count="1" selected="0">
            <x v="5"/>
          </reference>
          <reference field="2" count="1">
            <x v="5"/>
          </reference>
        </references>
      </pivotArea>
    </format>
    <format dxfId="12">
      <pivotArea dataOnly="0" labelOnly="1" fieldPosition="0">
        <references count="2">
          <reference field="1" count="1" selected="0">
            <x v="6"/>
          </reference>
          <reference field="2" count="1">
            <x v="6"/>
          </reference>
        </references>
      </pivotArea>
    </format>
    <format dxfId="11">
      <pivotArea dataOnly="0" labelOnly="1" fieldPosition="0">
        <references count="2">
          <reference field="1" count="1" selected="0">
            <x v="7"/>
          </reference>
          <reference field="2" count="1">
            <x v="7"/>
          </reference>
        </references>
      </pivotArea>
    </format>
    <format dxfId="10">
      <pivotArea dataOnly="0" labelOnly="1" fieldPosition="0">
        <references count="2">
          <reference field="1" count="1" selected="0">
            <x v="8"/>
          </reference>
          <reference field="2" count="1">
            <x v="8"/>
          </reference>
        </references>
      </pivotArea>
    </format>
    <format dxfId="9">
      <pivotArea dataOnly="0" labelOnly="1" fieldPosition="0">
        <references count="2">
          <reference field="1" count="1" selected="0">
            <x v="9"/>
          </reference>
          <reference field="2" count="1">
            <x v="9"/>
          </reference>
        </references>
      </pivotArea>
    </format>
    <format dxfId="8">
      <pivotArea dataOnly="0" labelOnly="1" fieldPosition="0">
        <references count="2">
          <reference field="1" count="1" selected="0">
            <x v="10"/>
          </reference>
          <reference field="2" count="1">
            <x v="10"/>
          </reference>
        </references>
      </pivotArea>
    </format>
    <format dxfId="7">
      <pivotArea dataOnly="0" labelOnly="1" fieldPosition="0">
        <references count="2">
          <reference field="1" count="1" selected="0">
            <x v="11"/>
          </reference>
          <reference field="2" count="1">
            <x v="11"/>
          </reference>
        </references>
      </pivotArea>
    </format>
    <format dxfId="6">
      <pivotArea dataOnly="0" labelOnly="1" outline="0" axis="axisValues" fieldPosition="0"/>
    </format>
  </formats>
  <pivotHierarchies count="34">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alendario]"/>
        <x15:activeTabTopLevelEntity name="[Fact_Transacciones 1]"/>
        <x15:activeTabTopLevelEntity name="[Dim_Sanatorios]"/>
        <x15:activeTabTopLevelEntity name="[Dim_Produc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5C8AF79-296C-468C-BF70-690BA85BA25A}" name="PT_Ventas_Categoria" cacheId="4" applyNumberFormats="0" applyBorderFormats="0" applyFontFormats="0" applyPatternFormats="0" applyAlignmentFormats="0" applyWidthHeightFormats="1" dataCaption="Valores" updatedVersion="8" minRefreshableVersion="3" useAutoFormatting="1" subtotalHiddenItems="1" itemPrintTitles="1" createdVersion="8" indent="0" outline="1" outlineData="1" multipleFieldFilters="0" chartFormat="1">
  <location ref="D20:E26" firstHeaderRow="1"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formats count="8">
    <format dxfId="86">
      <pivotArea collapsedLevelsAreSubtotals="1" fieldPosition="0">
        <references count="1">
          <reference field="0" count="0"/>
        </references>
      </pivotArea>
    </format>
    <format dxfId="85">
      <pivotArea dataOnly="0" labelOnly="1" fieldPosition="0">
        <references count="1">
          <reference field="0" count="0"/>
        </references>
      </pivotArea>
    </format>
    <format dxfId="5">
      <pivotArea type="all" dataOnly="0" outline="0" fieldPosition="0"/>
    </format>
    <format dxfId="4">
      <pivotArea outline="0" collapsedLevelsAreSubtotals="1" fieldPosition="0"/>
    </format>
    <format dxfId="3">
      <pivotArea field="0" type="button" dataOnly="0" labelOnly="1" outline="0" axis="axisRow" fieldPosition="0"/>
    </format>
    <format dxfId="2">
      <pivotArea dataOnly="0" labelOnly="1" fieldPosition="0">
        <references count="1">
          <reference field="0" count="0"/>
        </references>
      </pivotArea>
    </format>
    <format dxfId="1">
      <pivotArea dataOnly="0" labelOnly="1" grandRow="1" outline="0"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Productos]"/>
        <x15:activeTabTopLevelEntity name="[Fact_Transacciones 1]"/>
        <x15:activeTabTopLevelEntity name="[Dim_Sanatorios]"/>
        <x15:activeTabTopLevelEntity name="[Dim_Calendario]"/>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gión" xr10:uid="{00000000-0013-0000-FFFF-FFFF01000000}" sourceName="[Transacciones_Crudas].[Región]">
  <pivotTables>
    <pivotTable tabId="1" name="TablaDinámica1"/>
    <pivotTable tabId="1" name="TablaDinámica3"/>
  </pivotTables>
  <data>
    <olap pivotCacheId="1181215427">
      <levels count="2">
        <level uniqueName="[Transacciones_Crudas].[Región].[(All)]" sourceCaption="(All)" count="0"/>
        <level uniqueName="[Transacciones_Crudas].[Región].[Región]" sourceCaption="Región" count="5">
          <ranges>
            <range startItem="0">
              <i n="[Transacciones_Crudas].[Región].&amp;[Centro]" c="Centro"/>
              <i n="[Transacciones_Crudas].[Región].&amp;[Este]" c="Este"/>
              <i n="[Transacciones_Crudas].[Región].&amp;[Norte]" c="Norte"/>
              <i n="[Transacciones_Crudas].[Región].&amp;[Oeste]" c="Oeste"/>
              <i n="[Transacciones_Crudas].[Región].&amp;[Sur]" c="Sur"/>
            </range>
          </ranges>
        </level>
      </levels>
      <selections count="1">
        <selection n="[Transacciones_Crudas].[Regió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ía" xr10:uid="{00000000-0013-0000-FFFF-FFFF02000000}" sourceName="[Transacciones_Crudas].[Categoría]">
  <pivotTables>
    <pivotTable tabId="1" name="TablaDinámica1"/>
    <pivotTable tabId="1" name="TablaDinámica3"/>
  </pivotTables>
  <data>
    <olap pivotCacheId="1181215427">
      <levels count="2">
        <level uniqueName="[Transacciones_Crudas].[Categoría].[(All)]" sourceCaption="(All)" count="0"/>
        <level uniqueName="[Transacciones_Crudas].[Categoría].[Categoría]" sourceCaption="Categoría" count="5">
          <ranges>
            <range startItem="0">
              <i n="[Transacciones_Crudas].[Categoría].&amp;[Antisépticos]" c="Antisépticos"/>
              <i n="[Transacciones_Crudas].[Categoría].&amp;[Curaciones]" c="Curaciones"/>
              <i n="[Transacciones_Crudas].[Categoría].&amp;[Descartables]" c="Descartables"/>
              <i n="[Transacciones_Crudas].[Categoría].&amp;[Medicamentos]" c="Medicamentos"/>
              <i n="[Transacciones_Crudas].[Categoría].&amp;[Protección]" c="Protección"/>
            </range>
          </ranges>
        </level>
      </levels>
      <selections count="1">
        <selection n="[Transacciones_Crudas].[Categorí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gión1" xr10:uid="{A02F3A85-164A-4085-A74D-77F79E010767}" sourceName="[Dim_Sanatorios].[Región]">
  <pivotTables>
    <pivotTable tabId="9" name="PT_Ventas_Region"/>
    <pivotTable tabId="9" name="PT_Ventas_Categoria"/>
    <pivotTable tabId="9" name="Ventasxmes"/>
  </pivotTables>
  <data>
    <olap pivotCacheId="1218171686">
      <levels count="2">
        <level uniqueName="[Dim_Sanatorios].[Región].[(All)]" sourceCaption="(All)" count="0"/>
        <level uniqueName="[Dim_Sanatorios].[Región].[Región]" sourceCaption="Región" count="5">
          <ranges>
            <range startItem="0">
              <i n="[Dim_Sanatorios].[Región].&amp;[Centro]" c="Centro"/>
              <i n="[Dim_Sanatorios].[Región].&amp;[Este]" c="Este"/>
              <i n="[Dim_Sanatorios].[Región].&amp;[Norte]" c="Norte"/>
              <i n="[Dim_Sanatorios].[Región].&amp;[Oeste]" c="Oeste"/>
              <i n="[Dim_Sanatorios].[Región].&amp;[Sur]" c="Sur"/>
            </range>
          </ranges>
        </level>
      </levels>
      <selections count="1">
        <selection n="[Dim_Sanatorios].[Regió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ategoría1" xr10:uid="{CAAA1163-C4D6-459D-8717-74800015AB7F}" sourceName="[Dim_Productos].[Categoría]">
  <pivotTables>
    <pivotTable tabId="9" name="PT_Ventas_Categoria"/>
    <pivotTable tabId="9" name="PT_Ventas_Region"/>
    <pivotTable tabId="9" name="Ventasxmes"/>
  </pivotTables>
  <data>
    <olap pivotCacheId="1218171686">
      <levels count="2">
        <level uniqueName="[Dim_Productos].[Categoría].[(All)]" sourceCaption="(All)" count="0"/>
        <level uniqueName="[Dim_Productos].[Categoría].[Categoría]" sourceCaption="Categoría" count="5">
          <ranges>
            <range startItem="0">
              <i n="[Dim_Productos].[Categoría].&amp;[Antisépticos]" c="Antisépticos"/>
              <i n="[Dim_Productos].[Categoría].&amp;[Curaciones]" c="Curaciones"/>
              <i n="[Dim_Productos].[Categoría].&amp;[Descartables]" c="Descartables"/>
              <i n="[Dim_Productos].[Categoría].&amp;[Medicamentos]" c="Medicamentos"/>
              <i n="[Dim_Productos].[Categoría].&amp;[Protección]" c="Protección"/>
            </range>
          </ranges>
        </level>
      </levels>
      <selections count="1">
        <selection n="[Dim_Productos].[Categorí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4A681525-805B-4FFE-9FB8-EA619839F9F6}" sourceName="[Dim_Calendario].[Año]">
  <pivotTables>
    <pivotTable tabId="9" name="Ventasxmes"/>
    <pivotTable tabId="9" name="PT_Ventas_Categoria"/>
    <pivotTable tabId="9" name="PT_Ventas_Region"/>
  </pivotTables>
  <data>
    <olap pivotCacheId="1218171686">
      <levels count="2">
        <level uniqueName="[Dim_Calendario].[Año].[(All)]" sourceCaption="(All)" count="0"/>
        <level uniqueName="[Dim_Calendario].[Año].[Año]" sourceCaption="Año" count="2">
          <ranges>
            <range startItem="0">
              <i n="[Dim_Calendario].[Año].&amp;[2025]" c="2025"/>
              <i n="[Dim_Calendario].[Año].&amp;[2026]" c="2026"/>
            </range>
          </ranges>
        </level>
      </levels>
      <selections count="1">
        <selection n="[Dim_Calendario].[Año].[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ón" xr10:uid="{00000000-0014-0000-FFFF-FFFF01000000}" cache="SegmentaciónDeDatos_Región" caption="Región" startItem="1" level="1" rowHeight="241300"/>
  <slicer name="Categoría" xr10:uid="{00000000-0014-0000-FFFF-FFFF02000000}" cache="SegmentaciónDeDatos_Categoría" caption="Categorí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ón 1" xr10:uid="{4E1B0A0A-75E5-4370-B7DA-688AC4B8627B}" cache="SegmentaciónDeDatos_Región1" caption="Región" level="1" rowHeight="241300"/>
  <slicer name="Categoría 1" xr10:uid="{473E701B-9D72-4EA0-B7B2-3D5E2875E311}" cache="SegmentaciónDeDatos_Categoría1" caption="Categoría" level="1" rowHeight="241300"/>
  <slicer name="Año" xr10:uid="{E4EEB4EC-29BC-49EE-A6C9-4ED2F8F88714}" cache="SegmentaciónDeDatos_Año" caption="Año" level="1"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5.xml"/><Relationship Id="rId7"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4.bin"/><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J30"/>
  <sheetViews>
    <sheetView showGridLines="0" zoomScale="90" zoomScaleNormal="90" workbookViewId="0">
      <selection activeCell="A16" sqref="A16"/>
    </sheetView>
  </sheetViews>
  <sheetFormatPr baseColWidth="10" defaultColWidth="9.140625" defaultRowHeight="15" x14ac:dyDescent="0.25"/>
  <cols>
    <col min="1" max="1" width="17.5703125" customWidth="1"/>
    <col min="2" max="2" width="16.42578125" customWidth="1"/>
    <col min="5" max="5" width="17.5703125" customWidth="1"/>
    <col min="6" max="6" width="16.42578125" customWidth="1"/>
    <col min="7" max="7" width="25.5703125" customWidth="1"/>
  </cols>
  <sheetData>
    <row r="1" spans="1:10" ht="30.75" customHeight="1" x14ac:dyDescent="0.25">
      <c r="D1" s="55" t="s">
        <v>34</v>
      </c>
      <c r="E1" s="55"/>
      <c r="F1" s="55"/>
      <c r="G1" s="55"/>
      <c r="H1" s="55"/>
      <c r="I1" s="55"/>
      <c r="J1" s="55"/>
    </row>
    <row r="2" spans="1:10" ht="41.25" customHeight="1" x14ac:dyDescent="0.25">
      <c r="D2" s="55"/>
      <c r="E2" s="55"/>
      <c r="F2" s="55"/>
      <c r="G2" s="55"/>
      <c r="H2" s="55"/>
      <c r="I2" s="55"/>
      <c r="J2" s="55"/>
    </row>
    <row r="3" spans="1:10" ht="48" customHeight="1" x14ac:dyDescent="0.25">
      <c r="D3" s="56" t="s">
        <v>35</v>
      </c>
      <c r="E3" s="56"/>
      <c r="F3" s="56"/>
      <c r="G3" s="56"/>
      <c r="H3" s="56"/>
      <c r="I3" s="56"/>
      <c r="J3" s="56"/>
    </row>
    <row r="4" spans="1:10" ht="18.75" x14ac:dyDescent="0.25">
      <c r="F4" s="22" t="s">
        <v>31</v>
      </c>
      <c r="G4" s="23">
        <f>B21</f>
        <v>73728611</v>
      </c>
    </row>
    <row r="5" spans="1:10" ht="47.25" x14ac:dyDescent="0.25">
      <c r="F5" s="25" t="s">
        <v>32</v>
      </c>
      <c r="G5" s="24" t="str">
        <f>INDEX(A16:A20,MATCH(MAX(B16:B20),B16:B20,0))</f>
        <v>Norte</v>
      </c>
    </row>
    <row r="6" spans="1:10" ht="47.25" x14ac:dyDescent="0.25">
      <c r="F6" s="25" t="s">
        <v>33</v>
      </c>
      <c r="G6" s="26" t="str">
        <f>INDEX(A25:A29,MATCH(MAX(B25:B29),B25:B29,0))</f>
        <v>Protección</v>
      </c>
    </row>
    <row r="15" spans="1:10" x14ac:dyDescent="0.25">
      <c r="A15" s="20" t="s">
        <v>28</v>
      </c>
      <c r="B15" t="s">
        <v>30</v>
      </c>
    </row>
    <row r="16" spans="1:10" x14ac:dyDescent="0.25">
      <c r="A16" s="21" t="s">
        <v>8</v>
      </c>
      <c r="B16" s="3">
        <v>11052301</v>
      </c>
    </row>
    <row r="17" spans="1:2" x14ac:dyDescent="0.25">
      <c r="A17" s="21" t="s">
        <v>3</v>
      </c>
      <c r="B17" s="3">
        <v>6778211</v>
      </c>
    </row>
    <row r="18" spans="1:2" x14ac:dyDescent="0.25">
      <c r="A18" s="21" t="s">
        <v>9</v>
      </c>
      <c r="B18" s="3">
        <v>19698270</v>
      </c>
    </row>
    <row r="19" spans="1:2" x14ac:dyDescent="0.25">
      <c r="A19" s="21" t="s">
        <v>1</v>
      </c>
      <c r="B19" s="3">
        <v>18054865</v>
      </c>
    </row>
    <row r="20" spans="1:2" x14ac:dyDescent="0.25">
      <c r="A20" s="21" t="s">
        <v>7</v>
      </c>
      <c r="B20" s="3">
        <v>18144964</v>
      </c>
    </row>
    <row r="21" spans="1:2" x14ac:dyDescent="0.25">
      <c r="A21" s="21" t="s">
        <v>29</v>
      </c>
      <c r="B21" s="3">
        <v>73728611</v>
      </c>
    </row>
    <row r="24" spans="1:2" x14ac:dyDescent="0.25">
      <c r="A24" s="20" t="s">
        <v>28</v>
      </c>
      <c r="B24" t="s">
        <v>30</v>
      </c>
    </row>
    <row r="25" spans="1:2" x14ac:dyDescent="0.25">
      <c r="A25" s="21" t="s">
        <v>4</v>
      </c>
      <c r="B25" s="3">
        <v>4951380</v>
      </c>
    </row>
    <row r="26" spans="1:2" x14ac:dyDescent="0.25">
      <c r="A26" s="21" t="s">
        <v>0</v>
      </c>
      <c r="B26" s="3">
        <v>21363858</v>
      </c>
    </row>
    <row r="27" spans="1:2" x14ac:dyDescent="0.25">
      <c r="A27" s="21" t="s">
        <v>2</v>
      </c>
      <c r="B27" s="3">
        <v>17784747</v>
      </c>
    </row>
    <row r="28" spans="1:2" x14ac:dyDescent="0.25">
      <c r="A28" s="21" t="s">
        <v>5</v>
      </c>
      <c r="B28" s="3">
        <v>7204994</v>
      </c>
    </row>
    <row r="29" spans="1:2" x14ac:dyDescent="0.25">
      <c r="A29" s="21" t="s">
        <v>6</v>
      </c>
      <c r="B29" s="3">
        <v>22423632</v>
      </c>
    </row>
    <row r="30" spans="1:2" x14ac:dyDescent="0.25">
      <c r="A30" s="21" t="s">
        <v>29</v>
      </c>
      <c r="B30" s="3">
        <v>73728611</v>
      </c>
    </row>
  </sheetData>
  <mergeCells count="2">
    <mergeCell ref="D1:J2"/>
    <mergeCell ref="D3:J3"/>
  </mergeCells>
  <pageMargins left="0.7" right="0.7" top="0.75" bottom="0.75" header="0.3" footer="0.3"/>
  <pageSetup paperSize="9" scale="8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ActualizarTodo">
                <anchor moveWithCells="1">
                  <from>
                    <xdr:col>0</xdr:col>
                    <xdr:colOff>0</xdr:colOff>
                    <xdr:row>0</xdr:row>
                    <xdr:rowOff>28575</xdr:rowOff>
                  </from>
                  <to>
                    <xdr:col>1</xdr:col>
                    <xdr:colOff>390525</xdr:colOff>
                    <xdr:row>1</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AplicarFormato">
                <anchor moveWithCells="1">
                  <from>
                    <xdr:col>0</xdr:col>
                    <xdr:colOff>19050</xdr:colOff>
                    <xdr:row>1</xdr:row>
                    <xdr:rowOff>133350</xdr:rowOff>
                  </from>
                  <to>
                    <xdr:col>1</xdr:col>
                    <xdr:colOff>400050</xdr:colOff>
                    <xdr:row>2</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ExportarPDF">
                <anchor moveWithCells="1">
                  <from>
                    <xdr:col>0</xdr:col>
                    <xdr:colOff>38100</xdr:colOff>
                    <xdr:row>2</xdr:row>
                    <xdr:rowOff>161925</xdr:rowOff>
                  </from>
                  <to>
                    <xdr:col>1</xdr:col>
                    <xdr:colOff>381000</xdr:colOff>
                    <xdr:row>2</xdr:row>
                    <xdr:rowOff>600075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B61E6-46E1-4007-ABD1-98CB0CB401F7}">
  <sheetPr>
    <outlinePr summaryBelow="0"/>
  </sheetPr>
  <dimension ref="B1:G13"/>
  <sheetViews>
    <sheetView showGridLines="0" workbookViewId="0">
      <selection activeCell="B15" sqref="B15"/>
    </sheetView>
  </sheetViews>
  <sheetFormatPr baseColWidth="10" defaultRowHeight="15" outlineLevelRow="1" outlineLevelCol="1" x14ac:dyDescent="0.25"/>
  <cols>
    <col min="3" max="3" width="6" bestFit="1" customWidth="1"/>
    <col min="4" max="7" width="14.5703125" bestFit="1" customWidth="1" outlineLevel="1"/>
  </cols>
  <sheetData>
    <row r="1" spans="2:7" ht="15.75" thickBot="1" x14ac:dyDescent="0.3"/>
    <row r="2" spans="2:7" ht="15.75" x14ac:dyDescent="0.25">
      <c r="B2" s="36" t="s">
        <v>66</v>
      </c>
      <c r="C2" s="36"/>
      <c r="D2" s="40"/>
      <c r="E2" s="40"/>
      <c r="F2" s="40"/>
      <c r="G2" s="40"/>
    </row>
    <row r="3" spans="2:7" ht="15.75" collapsed="1" x14ac:dyDescent="0.25">
      <c r="B3" s="35"/>
      <c r="C3" s="35"/>
      <c r="D3" s="41" t="s">
        <v>68</v>
      </c>
      <c r="E3" s="41" t="s">
        <v>62</v>
      </c>
      <c r="F3" s="41" t="s">
        <v>64</v>
      </c>
      <c r="G3" s="41" t="s">
        <v>65</v>
      </c>
    </row>
    <row r="4" spans="2:7" ht="67.5" hidden="1" outlineLevel="1" x14ac:dyDescent="0.25">
      <c r="B4" s="37"/>
      <c r="C4" s="37"/>
      <c r="D4" s="28"/>
      <c r="E4" s="44" t="s">
        <v>73</v>
      </c>
      <c r="F4" s="44" t="s">
        <v>73</v>
      </c>
      <c r="G4" s="44" t="s">
        <v>63</v>
      </c>
    </row>
    <row r="5" spans="2:7" x14ac:dyDescent="0.25">
      <c r="B5" s="38" t="s">
        <v>67</v>
      </c>
      <c r="C5" s="38"/>
      <c r="D5" s="30"/>
      <c r="E5" s="30"/>
      <c r="F5" s="30"/>
      <c r="G5" s="30"/>
    </row>
    <row r="6" spans="2:7" outlineLevel="1" x14ac:dyDescent="0.25">
      <c r="B6" s="37"/>
      <c r="C6" s="37" t="s">
        <v>58</v>
      </c>
      <c r="D6" s="33">
        <v>0.3</v>
      </c>
      <c r="E6" s="42">
        <v>0.35</v>
      </c>
      <c r="F6" s="42">
        <v>0.3</v>
      </c>
      <c r="G6" s="42">
        <v>0.25</v>
      </c>
    </row>
    <row r="7" spans="2:7" outlineLevel="1" x14ac:dyDescent="0.25">
      <c r="B7" s="37"/>
      <c r="C7" s="37" t="s">
        <v>59</v>
      </c>
      <c r="D7" s="28">
        <v>10000</v>
      </c>
      <c r="E7" s="43">
        <v>800</v>
      </c>
      <c r="F7" s="43">
        <v>1000</v>
      </c>
      <c r="G7" s="43">
        <v>1200</v>
      </c>
    </row>
    <row r="8" spans="2:7" outlineLevel="1" x14ac:dyDescent="0.25">
      <c r="B8" s="37"/>
      <c r="C8" s="37" t="s">
        <v>60</v>
      </c>
      <c r="D8" s="33">
        <v>0.05</v>
      </c>
      <c r="E8" s="42">
        <v>0.08</v>
      </c>
      <c r="F8" s="42">
        <v>0.05</v>
      </c>
      <c r="G8" s="42">
        <v>0.03</v>
      </c>
    </row>
    <row r="9" spans="2:7" x14ac:dyDescent="0.25">
      <c r="B9" s="38" t="s">
        <v>69</v>
      </c>
      <c r="C9" s="38"/>
      <c r="D9" s="30"/>
      <c r="E9" s="30"/>
      <c r="F9" s="30"/>
      <c r="G9" s="30"/>
    </row>
    <row r="10" spans="2:7" ht="15.75" outlineLevel="1" thickBot="1" x14ac:dyDescent="0.3">
      <c r="B10" s="39"/>
      <c r="C10" s="39" t="s">
        <v>61</v>
      </c>
      <c r="D10" s="34">
        <v>6383527.7747597899</v>
      </c>
      <c r="E10" s="34">
        <v>368234.90102318401</v>
      </c>
      <c r="F10" s="34">
        <v>533527.77475978702</v>
      </c>
      <c r="G10" s="34">
        <v>698335.23584464903</v>
      </c>
    </row>
    <row r="11" spans="2:7" x14ac:dyDescent="0.25">
      <c r="B11" t="s">
        <v>70</v>
      </c>
    </row>
    <row r="12" spans="2:7" x14ac:dyDescent="0.25">
      <c r="B12" t="s">
        <v>71</v>
      </c>
    </row>
    <row r="13" spans="2:7" x14ac:dyDescent="0.25">
      <c r="B13" t="s">
        <v>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F27"/>
  <sheetViews>
    <sheetView topLeftCell="A5" zoomScale="90" zoomScaleNormal="90" workbookViewId="0">
      <selection activeCell="E5" sqref="E5"/>
    </sheetView>
  </sheetViews>
  <sheetFormatPr baseColWidth="10" defaultRowHeight="15" x14ac:dyDescent="0.25"/>
  <cols>
    <col min="1" max="1" width="40.5703125" customWidth="1"/>
    <col min="2" max="2" width="30.85546875" customWidth="1"/>
    <col min="3" max="3" width="16.28515625" bestFit="1" customWidth="1"/>
    <col min="5" max="5" width="29.140625" bestFit="1" customWidth="1"/>
    <col min="6" max="6" width="16.42578125" bestFit="1" customWidth="1"/>
  </cols>
  <sheetData>
    <row r="1" spans="1:6" x14ac:dyDescent="0.25">
      <c r="A1" s="15" t="s">
        <v>10</v>
      </c>
    </row>
    <row r="2" spans="1:6" x14ac:dyDescent="0.25">
      <c r="A2" s="1"/>
    </row>
    <row r="3" spans="1:6" x14ac:dyDescent="0.25">
      <c r="A3" s="5" t="s">
        <v>11</v>
      </c>
      <c r="B3" s="17"/>
      <c r="E3" s="11" t="s">
        <v>50</v>
      </c>
      <c r="F3" s="11"/>
    </row>
    <row r="4" spans="1:6" x14ac:dyDescent="0.25">
      <c r="A4" s="5" t="s">
        <v>12</v>
      </c>
      <c r="B4" s="6">
        <v>300000</v>
      </c>
      <c r="E4" s="11" t="s">
        <v>51</v>
      </c>
      <c r="F4" s="11">
        <v>10000</v>
      </c>
    </row>
    <row r="5" spans="1:6" x14ac:dyDescent="0.25">
      <c r="A5" s="5" t="s">
        <v>13</v>
      </c>
      <c r="B5" s="7">
        <v>0.3</v>
      </c>
      <c r="E5" s="11" t="s">
        <v>52</v>
      </c>
      <c r="F5" s="6">
        <v>1000</v>
      </c>
    </row>
    <row r="6" spans="1:6" x14ac:dyDescent="0.25">
      <c r="A6" s="5" t="s">
        <v>14</v>
      </c>
      <c r="B6" s="5">
        <v>60</v>
      </c>
      <c r="E6" s="11" t="s">
        <v>53</v>
      </c>
      <c r="F6" s="32">
        <v>0.3</v>
      </c>
    </row>
    <row r="7" spans="1:6" x14ac:dyDescent="0.25">
      <c r="A7" s="5" t="s">
        <v>15</v>
      </c>
      <c r="B7" s="8">
        <v>0.2</v>
      </c>
      <c r="E7" s="11" t="s">
        <v>54</v>
      </c>
      <c r="F7" s="14">
        <v>0.05</v>
      </c>
    </row>
    <row r="8" spans="1:6" x14ac:dyDescent="0.25">
      <c r="A8" s="5" t="s">
        <v>16</v>
      </c>
      <c r="B8" s="9">
        <f>PMT(B5/12,B6,-B4)</f>
        <v>9706.0187700177703</v>
      </c>
      <c r="E8" s="11" t="s">
        <v>31</v>
      </c>
      <c r="F8" s="6">
        <f>F4*F5</f>
        <v>10000000</v>
      </c>
    </row>
    <row r="9" spans="1:6" x14ac:dyDescent="0.25">
      <c r="A9" s="1"/>
      <c r="B9" s="1"/>
      <c r="E9" s="11" t="s">
        <v>55</v>
      </c>
      <c r="F9" s="6">
        <f>F8*F6</f>
        <v>3000000</v>
      </c>
    </row>
    <row r="10" spans="1:6" x14ac:dyDescent="0.25">
      <c r="A10" s="1"/>
      <c r="B10" s="1"/>
      <c r="E10" s="11" t="s">
        <v>56</v>
      </c>
      <c r="F10" s="11">
        <f>F8*F7</f>
        <v>500000</v>
      </c>
    </row>
    <row r="11" spans="1:6" x14ac:dyDescent="0.25">
      <c r="A11" s="16" t="s">
        <v>17</v>
      </c>
      <c r="B11" s="19"/>
      <c r="C11" s="18"/>
      <c r="D11" s="1"/>
      <c r="E11" s="5" t="s">
        <v>23</v>
      </c>
      <c r="F11" s="13">
        <f>$B$22</f>
        <v>116472.22524021324</v>
      </c>
    </row>
    <row r="12" spans="1:6" x14ac:dyDescent="0.25">
      <c r="A12" s="10" t="s">
        <v>18</v>
      </c>
      <c r="B12" s="11" t="s">
        <v>19</v>
      </c>
      <c r="C12" s="11" t="s">
        <v>20</v>
      </c>
      <c r="E12" s="11" t="s">
        <v>57</v>
      </c>
      <c r="F12" s="13">
        <f>F8-F9-F10-F11</f>
        <v>6383527.7747597871</v>
      </c>
    </row>
    <row r="13" spans="1:6" x14ac:dyDescent="0.25">
      <c r="A13" s="12">
        <v>0</v>
      </c>
      <c r="B13" s="13">
        <f>-B4</f>
        <v>-300000</v>
      </c>
      <c r="C13" s="6">
        <f t="shared" ref="C13:C18" si="0">B13/(1+$B$7)^A13</f>
        <v>-300000</v>
      </c>
    </row>
    <row r="14" spans="1:6" x14ac:dyDescent="0.25">
      <c r="A14" s="12">
        <v>1</v>
      </c>
      <c r="B14" s="6">
        <f>B20*(1+B21)-B22</f>
        <v>643862.7677597868</v>
      </c>
      <c r="C14" s="6">
        <f t="shared" si="0"/>
        <v>536552.30646648898</v>
      </c>
    </row>
    <row r="15" spans="1:6" x14ac:dyDescent="0.25">
      <c r="A15" s="12">
        <v>2</v>
      </c>
      <c r="B15" s="6">
        <f>B14*(1+B21)-B22</f>
        <v>591776.81929555233</v>
      </c>
      <c r="C15" s="6">
        <f t="shared" si="0"/>
        <v>410956.12451080023</v>
      </c>
    </row>
    <row r="16" spans="1:6" x14ac:dyDescent="0.25">
      <c r="A16" s="12">
        <v>3</v>
      </c>
      <c r="B16" s="6">
        <f>B15*(1+B21)-B22</f>
        <v>534482.27598489437</v>
      </c>
      <c r="C16" s="6">
        <f t="shared" si="0"/>
        <v>309306.87267644348</v>
      </c>
    </row>
    <row r="17" spans="1:3" x14ac:dyDescent="0.25">
      <c r="A17" s="12">
        <v>4</v>
      </c>
      <c r="B17" s="6">
        <f>B16*(1+B21)-B22</f>
        <v>471458.27834317065</v>
      </c>
      <c r="C17" s="6">
        <f t="shared" si="0"/>
        <v>227362.20984913709</v>
      </c>
    </row>
    <row r="18" spans="1:3" x14ac:dyDescent="0.25">
      <c r="A18" s="12">
        <v>5</v>
      </c>
      <c r="B18" s="6">
        <f>B17*(1+B21)-B22</f>
        <v>402131.88093727455</v>
      </c>
      <c r="C18" s="6">
        <f t="shared" si="0"/>
        <v>161607.78394148443</v>
      </c>
    </row>
    <row r="20" spans="1:3" x14ac:dyDescent="0.25">
      <c r="A20" s="11" t="s">
        <v>21</v>
      </c>
      <c r="B20" s="6">
        <v>691213.63</v>
      </c>
    </row>
    <row r="21" spans="1:3" x14ac:dyDescent="0.25">
      <c r="A21" s="11" t="s">
        <v>22</v>
      </c>
      <c r="B21" s="14">
        <v>0.1</v>
      </c>
    </row>
    <row r="22" spans="1:3" x14ac:dyDescent="0.25">
      <c r="A22" s="11" t="s">
        <v>23</v>
      </c>
      <c r="B22" s="6">
        <f>B8*12</f>
        <v>116472.22524021324</v>
      </c>
    </row>
    <row r="24" spans="1:3" x14ac:dyDescent="0.25">
      <c r="A24" s="11" t="s">
        <v>24</v>
      </c>
      <c r="B24" s="6">
        <f>NPV(B7,B14:B18)+B13</f>
        <v>1345785.2974443545</v>
      </c>
    </row>
    <row r="25" spans="1:3" x14ac:dyDescent="0.25">
      <c r="A25" s="11" t="s">
        <v>25</v>
      </c>
      <c r="B25" s="14">
        <f>IRR(B13:B18)</f>
        <v>2.0537951982442255</v>
      </c>
    </row>
    <row r="27" spans="1:3" ht="109.5" customHeight="1" x14ac:dyDescent="0.25">
      <c r="A27" s="4" t="s">
        <v>26</v>
      </c>
      <c r="B27" s="2" t="s">
        <v>27</v>
      </c>
    </row>
  </sheetData>
  <scenarios current="1" sqref="F12">
    <scenario name="Pesimista" locked="1" count="3" user="Autor" comment="Creado por Autor el 15/9/2026_x000a_Modificado por Autor el 15/9/2026">
      <inputCells r="B5" val="0,35" numFmtId="9"/>
      <inputCells r="F4" val="800"/>
      <inputCells r="F7" val="0,08" numFmtId="9"/>
    </scenario>
    <scenario name="Base (Actual)" locked="1" count="3" user="Autor" comment="Creado por Autor el 15/9/2026_x000a_Modificado por Autor el 15/9/2026">
      <inputCells r="B5" val="0,3" numFmtId="9"/>
      <inputCells r="F4" val="1000"/>
      <inputCells r="F7" val="0,05" numFmtId="9"/>
    </scenario>
    <scenario name="Optimista" locked="1" count="3" user="Autor" comment="Creado por Autor el 15/9/2026">
      <inputCells r="B5" val="0,25" numFmtId="9"/>
      <inputCells r="F4" val="1200"/>
      <inputCells r="F7" val="0,03" numFmtId="9"/>
    </scenario>
  </scenario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FC6D2-893D-409E-9022-7935B67FA427}">
  <dimension ref="A1:D689"/>
  <sheetViews>
    <sheetView workbookViewId="0">
      <selection activeCell="C22" sqref="C22"/>
    </sheetView>
  </sheetViews>
  <sheetFormatPr baseColWidth="10" defaultRowHeight="15" x14ac:dyDescent="0.25"/>
  <cols>
    <col min="3" max="3" width="23.28515625" customWidth="1"/>
    <col min="4" max="4" width="17" customWidth="1"/>
  </cols>
  <sheetData>
    <row r="1" spans="1:4" x14ac:dyDescent="0.25">
      <c r="A1" s="27" t="s">
        <v>36</v>
      </c>
      <c r="C1" s="31" t="s">
        <v>36</v>
      </c>
      <c r="D1" s="31"/>
    </row>
    <row r="2" spans="1:4" x14ac:dyDescent="0.25">
      <c r="A2" s="1">
        <v>85078</v>
      </c>
      <c r="C2" s="28"/>
      <c r="D2" s="28"/>
    </row>
    <row r="3" spans="1:4" x14ac:dyDescent="0.25">
      <c r="A3" s="1">
        <v>179703</v>
      </c>
      <c r="C3" s="28" t="s">
        <v>37</v>
      </c>
      <c r="D3" s="28">
        <v>107163.67877906977</v>
      </c>
    </row>
    <row r="4" spans="1:4" x14ac:dyDescent="0.25">
      <c r="A4" s="1">
        <v>156416</v>
      </c>
      <c r="C4" s="28" t="s">
        <v>38</v>
      </c>
      <c r="D4" s="28">
        <v>4102.1108119287192</v>
      </c>
    </row>
    <row r="5" spans="1:4" x14ac:dyDescent="0.25">
      <c r="A5" s="1">
        <v>181062</v>
      </c>
      <c r="C5" s="28" t="s">
        <v>39</v>
      </c>
      <c r="D5" s="28">
        <v>63883</v>
      </c>
    </row>
    <row r="6" spans="1:4" x14ac:dyDescent="0.25">
      <c r="A6" s="1">
        <v>154707</v>
      </c>
      <c r="C6" s="28" t="s">
        <v>40</v>
      </c>
      <c r="D6" s="28">
        <v>51304</v>
      </c>
    </row>
    <row r="7" spans="1:4" x14ac:dyDescent="0.25">
      <c r="A7" s="1">
        <v>291361</v>
      </c>
      <c r="C7" s="28" t="s">
        <v>41</v>
      </c>
      <c r="D7" s="28">
        <v>107597.35787638856</v>
      </c>
    </row>
    <row r="8" spans="1:4" x14ac:dyDescent="0.25">
      <c r="A8" s="1">
        <v>26767</v>
      </c>
      <c r="C8" s="28" t="s">
        <v>42</v>
      </c>
      <c r="D8" s="28">
        <v>11577191421.979635</v>
      </c>
    </row>
    <row r="9" spans="1:4" x14ac:dyDescent="0.25">
      <c r="A9" s="1">
        <v>171296</v>
      </c>
      <c r="C9" s="28" t="s">
        <v>43</v>
      </c>
      <c r="D9" s="28">
        <v>1.3787007487076322</v>
      </c>
    </row>
    <row r="10" spans="1:4" x14ac:dyDescent="0.25">
      <c r="A10" s="1">
        <v>20746</v>
      </c>
      <c r="C10" s="28" t="s">
        <v>44</v>
      </c>
      <c r="D10" s="28">
        <v>1.3373638418306981</v>
      </c>
    </row>
    <row r="11" spans="1:4" x14ac:dyDescent="0.25">
      <c r="A11" s="1">
        <v>14276</v>
      </c>
      <c r="C11" s="28" t="s">
        <v>45</v>
      </c>
      <c r="D11" s="28">
        <v>569212</v>
      </c>
    </row>
    <row r="12" spans="1:4" x14ac:dyDescent="0.25">
      <c r="A12" s="1">
        <v>120309</v>
      </c>
      <c r="C12" s="28" t="s">
        <v>46</v>
      </c>
      <c r="D12" s="28">
        <v>434</v>
      </c>
    </row>
    <row r="13" spans="1:4" x14ac:dyDescent="0.25">
      <c r="A13" s="1">
        <v>16530</v>
      </c>
      <c r="C13" s="28" t="s">
        <v>47</v>
      </c>
      <c r="D13" s="28">
        <v>569646</v>
      </c>
    </row>
    <row r="14" spans="1:4" x14ac:dyDescent="0.25">
      <c r="A14" s="1">
        <v>8307</v>
      </c>
      <c r="C14" s="28" t="s">
        <v>48</v>
      </c>
      <c r="D14" s="28">
        <v>73728611</v>
      </c>
    </row>
    <row r="15" spans="1:4" ht="15.75" thickBot="1" x14ac:dyDescent="0.3">
      <c r="A15" s="1">
        <v>14100</v>
      </c>
      <c r="C15" s="29" t="s">
        <v>49</v>
      </c>
      <c r="D15" s="29">
        <v>688</v>
      </c>
    </row>
    <row r="16" spans="1:4" x14ac:dyDescent="0.25">
      <c r="A16" s="1">
        <v>249081</v>
      </c>
    </row>
    <row r="17" spans="1:1" x14ac:dyDescent="0.25">
      <c r="A17" s="1">
        <v>224257</v>
      </c>
    </row>
    <row r="18" spans="1:1" x14ac:dyDescent="0.25">
      <c r="A18" s="1">
        <v>233128</v>
      </c>
    </row>
    <row r="19" spans="1:1" x14ac:dyDescent="0.25">
      <c r="A19" s="1">
        <v>223095</v>
      </c>
    </row>
    <row r="20" spans="1:1" x14ac:dyDescent="0.25">
      <c r="A20" s="1">
        <v>21924</v>
      </c>
    </row>
    <row r="21" spans="1:1" x14ac:dyDescent="0.25">
      <c r="A21" s="1">
        <v>125538</v>
      </c>
    </row>
    <row r="22" spans="1:1" x14ac:dyDescent="0.25">
      <c r="A22" s="1">
        <v>239134</v>
      </c>
    </row>
    <row r="23" spans="1:1" x14ac:dyDescent="0.25">
      <c r="A23" s="1">
        <v>203319</v>
      </c>
    </row>
    <row r="24" spans="1:1" x14ac:dyDescent="0.25">
      <c r="A24" s="1">
        <v>15912</v>
      </c>
    </row>
    <row r="25" spans="1:1" x14ac:dyDescent="0.25">
      <c r="A25" s="1">
        <v>9108</v>
      </c>
    </row>
    <row r="26" spans="1:1" x14ac:dyDescent="0.25">
      <c r="A26" s="1">
        <v>237573</v>
      </c>
    </row>
    <row r="27" spans="1:1" x14ac:dyDescent="0.25">
      <c r="A27" s="1">
        <v>29029</v>
      </c>
    </row>
    <row r="28" spans="1:1" x14ac:dyDescent="0.25">
      <c r="A28" s="1">
        <v>122094</v>
      </c>
    </row>
    <row r="29" spans="1:1" x14ac:dyDescent="0.25">
      <c r="A29" s="1">
        <v>288288</v>
      </c>
    </row>
    <row r="30" spans="1:1" x14ac:dyDescent="0.25">
      <c r="A30" s="1">
        <v>16077</v>
      </c>
    </row>
    <row r="31" spans="1:1" x14ac:dyDescent="0.25">
      <c r="A31" s="1">
        <v>23049</v>
      </c>
    </row>
    <row r="32" spans="1:1" x14ac:dyDescent="0.25">
      <c r="A32" s="1">
        <v>226304</v>
      </c>
    </row>
    <row r="33" spans="1:1" x14ac:dyDescent="0.25">
      <c r="A33" s="1">
        <v>136488</v>
      </c>
    </row>
    <row r="34" spans="1:1" x14ac:dyDescent="0.25">
      <c r="A34" s="1">
        <v>162538</v>
      </c>
    </row>
    <row r="35" spans="1:1" x14ac:dyDescent="0.25">
      <c r="A35" s="1">
        <v>273462</v>
      </c>
    </row>
    <row r="36" spans="1:1" x14ac:dyDescent="0.25">
      <c r="A36" s="1">
        <v>140998</v>
      </c>
    </row>
    <row r="37" spans="1:1" x14ac:dyDescent="0.25">
      <c r="A37" s="1">
        <v>196138</v>
      </c>
    </row>
    <row r="38" spans="1:1" x14ac:dyDescent="0.25">
      <c r="A38" s="1">
        <v>282664</v>
      </c>
    </row>
    <row r="39" spans="1:1" x14ac:dyDescent="0.25">
      <c r="A39" s="1">
        <v>6685</v>
      </c>
    </row>
    <row r="40" spans="1:1" x14ac:dyDescent="0.25">
      <c r="A40" s="1">
        <v>80157</v>
      </c>
    </row>
    <row r="41" spans="1:1" x14ac:dyDescent="0.25">
      <c r="A41" s="1">
        <v>183717</v>
      </c>
    </row>
    <row r="42" spans="1:1" x14ac:dyDescent="0.25">
      <c r="A42" s="1">
        <v>304155</v>
      </c>
    </row>
    <row r="43" spans="1:1" x14ac:dyDescent="0.25">
      <c r="A43" s="1">
        <v>16929</v>
      </c>
    </row>
    <row r="44" spans="1:1" x14ac:dyDescent="0.25">
      <c r="A44" s="1">
        <v>229116</v>
      </c>
    </row>
    <row r="45" spans="1:1" x14ac:dyDescent="0.25">
      <c r="A45" s="1">
        <v>168587</v>
      </c>
    </row>
    <row r="46" spans="1:1" x14ac:dyDescent="0.25">
      <c r="A46" s="1">
        <v>217344</v>
      </c>
    </row>
    <row r="47" spans="1:1" x14ac:dyDescent="0.25">
      <c r="A47" s="1">
        <v>237804</v>
      </c>
    </row>
    <row r="48" spans="1:1" x14ac:dyDescent="0.25">
      <c r="A48" s="1">
        <v>20145</v>
      </c>
    </row>
    <row r="49" spans="1:1" x14ac:dyDescent="0.25">
      <c r="A49" s="1">
        <v>237354</v>
      </c>
    </row>
    <row r="50" spans="1:1" x14ac:dyDescent="0.25">
      <c r="A50" s="1">
        <v>137856</v>
      </c>
    </row>
    <row r="51" spans="1:1" x14ac:dyDescent="0.25">
      <c r="A51" s="1">
        <v>209214</v>
      </c>
    </row>
    <row r="52" spans="1:1" x14ac:dyDescent="0.25">
      <c r="A52" s="1">
        <v>157488</v>
      </c>
    </row>
    <row r="53" spans="1:1" x14ac:dyDescent="0.25">
      <c r="A53" s="1">
        <v>174735</v>
      </c>
    </row>
    <row r="54" spans="1:1" x14ac:dyDescent="0.25">
      <c r="A54" s="1">
        <v>226512</v>
      </c>
    </row>
    <row r="55" spans="1:1" x14ac:dyDescent="0.25">
      <c r="A55" s="1">
        <v>108924</v>
      </c>
    </row>
    <row r="56" spans="1:1" x14ac:dyDescent="0.25">
      <c r="A56" s="1">
        <v>227565</v>
      </c>
    </row>
    <row r="57" spans="1:1" x14ac:dyDescent="0.25">
      <c r="A57" s="1">
        <v>165633</v>
      </c>
    </row>
    <row r="58" spans="1:1" x14ac:dyDescent="0.25">
      <c r="A58" s="1">
        <v>18486</v>
      </c>
    </row>
    <row r="59" spans="1:1" x14ac:dyDescent="0.25">
      <c r="A59" s="1">
        <v>13932</v>
      </c>
    </row>
    <row r="60" spans="1:1" x14ac:dyDescent="0.25">
      <c r="A60" s="1">
        <v>23520</v>
      </c>
    </row>
    <row r="61" spans="1:1" x14ac:dyDescent="0.25">
      <c r="A61" s="1">
        <v>158678</v>
      </c>
    </row>
    <row r="62" spans="1:1" x14ac:dyDescent="0.25">
      <c r="A62" s="1">
        <v>254016</v>
      </c>
    </row>
    <row r="63" spans="1:1" x14ac:dyDescent="0.25">
      <c r="A63" s="1">
        <v>171371</v>
      </c>
    </row>
    <row r="64" spans="1:1" x14ac:dyDescent="0.25">
      <c r="A64" s="1">
        <v>135063</v>
      </c>
    </row>
    <row r="65" spans="1:1" x14ac:dyDescent="0.25">
      <c r="A65" s="1">
        <v>15268</v>
      </c>
    </row>
    <row r="66" spans="1:1" x14ac:dyDescent="0.25">
      <c r="A66" s="1">
        <v>181584</v>
      </c>
    </row>
    <row r="67" spans="1:1" x14ac:dyDescent="0.25">
      <c r="A67" s="1">
        <v>144508</v>
      </c>
    </row>
    <row r="68" spans="1:1" x14ac:dyDescent="0.25">
      <c r="A68" s="1">
        <v>186584</v>
      </c>
    </row>
    <row r="69" spans="1:1" x14ac:dyDescent="0.25">
      <c r="A69" s="1">
        <v>67671</v>
      </c>
    </row>
    <row r="70" spans="1:1" x14ac:dyDescent="0.25">
      <c r="A70" s="1">
        <v>6555</v>
      </c>
    </row>
    <row r="71" spans="1:1" x14ac:dyDescent="0.25">
      <c r="A71" s="1">
        <v>98838</v>
      </c>
    </row>
    <row r="72" spans="1:1" x14ac:dyDescent="0.25">
      <c r="A72" s="1">
        <v>48552</v>
      </c>
    </row>
    <row r="73" spans="1:1" x14ac:dyDescent="0.25">
      <c r="A73" s="1">
        <v>160524</v>
      </c>
    </row>
    <row r="74" spans="1:1" x14ac:dyDescent="0.25">
      <c r="A74" s="1">
        <v>97812</v>
      </c>
    </row>
    <row r="75" spans="1:1" x14ac:dyDescent="0.25">
      <c r="A75" s="1">
        <v>44717</v>
      </c>
    </row>
    <row r="76" spans="1:1" x14ac:dyDescent="0.25">
      <c r="A76" s="1">
        <v>39338</v>
      </c>
    </row>
    <row r="77" spans="1:1" x14ac:dyDescent="0.25">
      <c r="A77" s="1">
        <v>162012</v>
      </c>
    </row>
    <row r="78" spans="1:1" x14ac:dyDescent="0.25">
      <c r="A78" s="1">
        <v>84975</v>
      </c>
    </row>
    <row r="79" spans="1:1" x14ac:dyDescent="0.25">
      <c r="A79" s="1">
        <v>153824</v>
      </c>
    </row>
    <row r="80" spans="1:1" x14ac:dyDescent="0.25">
      <c r="A80" s="1">
        <v>57138</v>
      </c>
    </row>
    <row r="81" spans="1:1" x14ac:dyDescent="0.25">
      <c r="A81" s="1">
        <v>14155</v>
      </c>
    </row>
    <row r="82" spans="1:1" x14ac:dyDescent="0.25">
      <c r="A82" s="1">
        <v>158326</v>
      </c>
    </row>
    <row r="83" spans="1:1" x14ac:dyDescent="0.25">
      <c r="A83" s="1">
        <v>41208</v>
      </c>
    </row>
    <row r="84" spans="1:1" x14ac:dyDescent="0.25">
      <c r="A84" s="1">
        <v>139984</v>
      </c>
    </row>
    <row r="85" spans="1:1" x14ac:dyDescent="0.25">
      <c r="A85" s="1">
        <v>110656</v>
      </c>
    </row>
    <row r="86" spans="1:1" x14ac:dyDescent="0.25">
      <c r="A86" s="1">
        <v>52072</v>
      </c>
    </row>
    <row r="87" spans="1:1" x14ac:dyDescent="0.25">
      <c r="A87" s="1">
        <v>79218</v>
      </c>
    </row>
    <row r="88" spans="1:1" x14ac:dyDescent="0.25">
      <c r="A88" s="1">
        <v>100858</v>
      </c>
    </row>
    <row r="89" spans="1:1" x14ac:dyDescent="0.25">
      <c r="A89" s="1">
        <v>218964</v>
      </c>
    </row>
    <row r="90" spans="1:1" x14ac:dyDescent="0.25">
      <c r="A90" s="1">
        <v>92015</v>
      </c>
    </row>
    <row r="91" spans="1:1" x14ac:dyDescent="0.25">
      <c r="A91" s="1">
        <v>11713</v>
      </c>
    </row>
    <row r="92" spans="1:1" x14ac:dyDescent="0.25">
      <c r="A92" s="1">
        <v>126324</v>
      </c>
    </row>
    <row r="93" spans="1:1" x14ac:dyDescent="0.25">
      <c r="A93" s="1">
        <v>44064</v>
      </c>
    </row>
    <row r="94" spans="1:1" x14ac:dyDescent="0.25">
      <c r="A94" s="1">
        <v>30485</v>
      </c>
    </row>
    <row r="95" spans="1:1" x14ac:dyDescent="0.25">
      <c r="A95" s="1">
        <v>65975</v>
      </c>
    </row>
    <row r="96" spans="1:1" x14ac:dyDescent="0.25">
      <c r="A96" s="1">
        <v>115644</v>
      </c>
    </row>
    <row r="97" spans="1:1" x14ac:dyDescent="0.25">
      <c r="A97" s="1">
        <v>129402</v>
      </c>
    </row>
    <row r="98" spans="1:1" x14ac:dyDescent="0.25">
      <c r="A98" s="1">
        <v>6160</v>
      </c>
    </row>
    <row r="99" spans="1:1" x14ac:dyDescent="0.25">
      <c r="A99" s="1">
        <v>58235</v>
      </c>
    </row>
    <row r="100" spans="1:1" x14ac:dyDescent="0.25">
      <c r="A100" s="1">
        <v>9636</v>
      </c>
    </row>
    <row r="101" spans="1:1" x14ac:dyDescent="0.25">
      <c r="A101" s="1">
        <v>49086</v>
      </c>
    </row>
    <row r="102" spans="1:1" x14ac:dyDescent="0.25">
      <c r="A102" s="1">
        <v>54432</v>
      </c>
    </row>
    <row r="103" spans="1:1" x14ac:dyDescent="0.25">
      <c r="A103" s="1">
        <v>70308</v>
      </c>
    </row>
    <row r="104" spans="1:1" x14ac:dyDescent="0.25">
      <c r="A104" s="1">
        <v>63954</v>
      </c>
    </row>
    <row r="105" spans="1:1" x14ac:dyDescent="0.25">
      <c r="A105" s="1">
        <v>174628</v>
      </c>
    </row>
    <row r="106" spans="1:1" x14ac:dyDescent="0.25">
      <c r="A106" s="1">
        <v>50953</v>
      </c>
    </row>
    <row r="107" spans="1:1" x14ac:dyDescent="0.25">
      <c r="A107" s="1">
        <v>6251</v>
      </c>
    </row>
    <row r="108" spans="1:1" x14ac:dyDescent="0.25">
      <c r="A108" s="1">
        <v>89936</v>
      </c>
    </row>
    <row r="109" spans="1:1" x14ac:dyDescent="0.25">
      <c r="A109" s="1">
        <v>169376</v>
      </c>
    </row>
    <row r="110" spans="1:1" x14ac:dyDescent="0.25">
      <c r="A110" s="1">
        <v>154595</v>
      </c>
    </row>
    <row r="111" spans="1:1" x14ac:dyDescent="0.25">
      <c r="A111" s="1">
        <v>4444</v>
      </c>
    </row>
    <row r="112" spans="1:1" x14ac:dyDescent="0.25">
      <c r="A112" s="1">
        <v>104882</v>
      </c>
    </row>
    <row r="113" spans="1:1" x14ac:dyDescent="0.25">
      <c r="A113" s="1">
        <v>13511</v>
      </c>
    </row>
    <row r="114" spans="1:1" x14ac:dyDescent="0.25">
      <c r="A114" s="1">
        <v>26572</v>
      </c>
    </row>
    <row r="115" spans="1:1" x14ac:dyDescent="0.25">
      <c r="A115" s="1">
        <v>114552</v>
      </c>
    </row>
    <row r="116" spans="1:1" x14ac:dyDescent="0.25">
      <c r="A116" s="1">
        <v>9849</v>
      </c>
    </row>
    <row r="117" spans="1:1" x14ac:dyDescent="0.25">
      <c r="A117" s="1">
        <v>97096</v>
      </c>
    </row>
    <row r="118" spans="1:1" x14ac:dyDescent="0.25">
      <c r="A118" s="1">
        <v>65562</v>
      </c>
    </row>
    <row r="119" spans="1:1" x14ac:dyDescent="0.25">
      <c r="A119" s="1">
        <v>38857</v>
      </c>
    </row>
    <row r="120" spans="1:1" x14ac:dyDescent="0.25">
      <c r="A120" s="1">
        <v>15827</v>
      </c>
    </row>
    <row r="121" spans="1:1" x14ac:dyDescent="0.25">
      <c r="A121" s="1">
        <v>173019</v>
      </c>
    </row>
    <row r="122" spans="1:1" x14ac:dyDescent="0.25">
      <c r="A122" s="1">
        <v>10906</v>
      </c>
    </row>
    <row r="123" spans="1:1" x14ac:dyDescent="0.25">
      <c r="A123" s="1">
        <v>152334</v>
      </c>
    </row>
    <row r="124" spans="1:1" x14ac:dyDescent="0.25">
      <c r="A124" s="1">
        <v>159728</v>
      </c>
    </row>
    <row r="125" spans="1:1" x14ac:dyDescent="0.25">
      <c r="A125" s="1">
        <v>43956</v>
      </c>
    </row>
    <row r="126" spans="1:1" x14ac:dyDescent="0.25">
      <c r="A126" s="1">
        <v>17848</v>
      </c>
    </row>
    <row r="127" spans="1:1" x14ac:dyDescent="0.25">
      <c r="A127" s="1">
        <v>13248</v>
      </c>
    </row>
    <row r="128" spans="1:1" x14ac:dyDescent="0.25">
      <c r="A128" s="1">
        <v>97798</v>
      </c>
    </row>
    <row r="129" spans="1:1" x14ac:dyDescent="0.25">
      <c r="A129" s="1">
        <v>16742</v>
      </c>
    </row>
    <row r="130" spans="1:1" x14ac:dyDescent="0.25">
      <c r="A130" s="1">
        <v>45864</v>
      </c>
    </row>
    <row r="131" spans="1:1" x14ac:dyDescent="0.25">
      <c r="A131" s="1">
        <v>4149</v>
      </c>
    </row>
    <row r="132" spans="1:1" x14ac:dyDescent="0.25">
      <c r="A132" s="1">
        <v>10266</v>
      </c>
    </row>
    <row r="133" spans="1:1" x14ac:dyDescent="0.25">
      <c r="A133" s="1">
        <v>126585</v>
      </c>
    </row>
    <row r="134" spans="1:1" x14ac:dyDescent="0.25">
      <c r="A134" s="1">
        <v>31951</v>
      </c>
    </row>
    <row r="135" spans="1:1" x14ac:dyDescent="0.25">
      <c r="A135" s="1">
        <v>34138</v>
      </c>
    </row>
    <row r="136" spans="1:1" x14ac:dyDescent="0.25">
      <c r="A136" s="1">
        <v>28396</v>
      </c>
    </row>
    <row r="137" spans="1:1" x14ac:dyDescent="0.25">
      <c r="A137" s="1">
        <v>52185</v>
      </c>
    </row>
    <row r="138" spans="1:1" x14ac:dyDescent="0.25">
      <c r="A138" s="1">
        <v>118156</v>
      </c>
    </row>
    <row r="139" spans="1:1" x14ac:dyDescent="0.25">
      <c r="A139" s="1">
        <v>51304</v>
      </c>
    </row>
    <row r="140" spans="1:1" x14ac:dyDescent="0.25">
      <c r="A140" s="1">
        <v>188568</v>
      </c>
    </row>
    <row r="141" spans="1:1" x14ac:dyDescent="0.25">
      <c r="A141" s="1">
        <v>23956</v>
      </c>
    </row>
    <row r="142" spans="1:1" x14ac:dyDescent="0.25">
      <c r="A142" s="1">
        <v>149702</v>
      </c>
    </row>
    <row r="143" spans="1:1" x14ac:dyDescent="0.25">
      <c r="A143" s="1">
        <v>98384</v>
      </c>
    </row>
    <row r="144" spans="1:1" x14ac:dyDescent="0.25">
      <c r="A144" s="1">
        <v>30926</v>
      </c>
    </row>
    <row r="145" spans="1:1" x14ac:dyDescent="0.25">
      <c r="A145" s="1">
        <v>72498</v>
      </c>
    </row>
    <row r="146" spans="1:1" x14ac:dyDescent="0.25">
      <c r="A146" s="1">
        <v>55096</v>
      </c>
    </row>
    <row r="147" spans="1:1" x14ac:dyDescent="0.25">
      <c r="A147" s="1">
        <v>68142</v>
      </c>
    </row>
    <row r="148" spans="1:1" x14ac:dyDescent="0.25">
      <c r="A148" s="1">
        <v>8732</v>
      </c>
    </row>
    <row r="149" spans="1:1" x14ac:dyDescent="0.25">
      <c r="A149" s="1">
        <v>124722</v>
      </c>
    </row>
    <row r="150" spans="1:1" x14ac:dyDescent="0.25">
      <c r="A150" s="1">
        <v>18704</v>
      </c>
    </row>
    <row r="151" spans="1:1" x14ac:dyDescent="0.25">
      <c r="A151" s="1">
        <v>11703</v>
      </c>
    </row>
    <row r="152" spans="1:1" x14ac:dyDescent="0.25">
      <c r="A152" s="1">
        <v>66231</v>
      </c>
    </row>
    <row r="153" spans="1:1" x14ac:dyDescent="0.25">
      <c r="A153" s="1">
        <v>15301</v>
      </c>
    </row>
    <row r="154" spans="1:1" x14ac:dyDescent="0.25">
      <c r="A154" s="1">
        <v>135488</v>
      </c>
    </row>
    <row r="155" spans="1:1" x14ac:dyDescent="0.25">
      <c r="A155" s="1">
        <v>12789</v>
      </c>
    </row>
    <row r="156" spans="1:1" x14ac:dyDescent="0.25">
      <c r="A156" s="1">
        <v>59262</v>
      </c>
    </row>
    <row r="157" spans="1:1" x14ac:dyDescent="0.25">
      <c r="A157" s="1">
        <v>13944</v>
      </c>
    </row>
    <row r="158" spans="1:1" x14ac:dyDescent="0.25">
      <c r="A158" s="1">
        <v>62744</v>
      </c>
    </row>
    <row r="159" spans="1:1" x14ac:dyDescent="0.25">
      <c r="A159" s="1">
        <v>118556</v>
      </c>
    </row>
    <row r="160" spans="1:1" x14ac:dyDescent="0.25">
      <c r="A160" s="1">
        <v>4452</v>
      </c>
    </row>
    <row r="161" spans="1:1" x14ac:dyDescent="0.25">
      <c r="A161" s="1">
        <v>38077</v>
      </c>
    </row>
    <row r="162" spans="1:1" x14ac:dyDescent="0.25">
      <c r="A162" s="1">
        <v>79223</v>
      </c>
    </row>
    <row r="163" spans="1:1" x14ac:dyDescent="0.25">
      <c r="A163" s="1">
        <v>13146</v>
      </c>
    </row>
    <row r="164" spans="1:1" x14ac:dyDescent="0.25">
      <c r="A164" s="1">
        <v>83148</v>
      </c>
    </row>
    <row r="165" spans="1:1" x14ac:dyDescent="0.25">
      <c r="A165" s="1">
        <v>107744</v>
      </c>
    </row>
    <row r="166" spans="1:1" x14ac:dyDescent="0.25">
      <c r="A166" s="1">
        <v>158574</v>
      </c>
    </row>
    <row r="167" spans="1:1" x14ac:dyDescent="0.25">
      <c r="A167" s="1">
        <v>9450</v>
      </c>
    </row>
    <row r="168" spans="1:1" x14ac:dyDescent="0.25">
      <c r="A168" s="1">
        <v>42966</v>
      </c>
    </row>
    <row r="169" spans="1:1" x14ac:dyDescent="0.25">
      <c r="A169" s="1">
        <v>97236</v>
      </c>
    </row>
    <row r="170" spans="1:1" x14ac:dyDescent="0.25">
      <c r="A170" s="1">
        <v>102165</v>
      </c>
    </row>
    <row r="171" spans="1:1" x14ac:dyDescent="0.25">
      <c r="A171" s="1">
        <v>44649</v>
      </c>
    </row>
    <row r="172" spans="1:1" x14ac:dyDescent="0.25">
      <c r="A172" s="1">
        <v>11205</v>
      </c>
    </row>
    <row r="173" spans="1:1" x14ac:dyDescent="0.25">
      <c r="A173" s="1">
        <v>13950</v>
      </c>
    </row>
    <row r="174" spans="1:1" x14ac:dyDescent="0.25">
      <c r="A174" s="1">
        <v>30636</v>
      </c>
    </row>
    <row r="175" spans="1:1" x14ac:dyDescent="0.25">
      <c r="A175" s="1">
        <v>20972</v>
      </c>
    </row>
    <row r="176" spans="1:1" x14ac:dyDescent="0.25">
      <c r="A176" s="1">
        <v>5460</v>
      </c>
    </row>
    <row r="177" spans="1:1" x14ac:dyDescent="0.25">
      <c r="A177" s="1">
        <v>188604</v>
      </c>
    </row>
    <row r="178" spans="1:1" x14ac:dyDescent="0.25">
      <c r="A178" s="1">
        <v>77467</v>
      </c>
    </row>
    <row r="179" spans="1:1" x14ac:dyDescent="0.25">
      <c r="A179" s="1">
        <v>2150</v>
      </c>
    </row>
    <row r="180" spans="1:1" x14ac:dyDescent="0.25">
      <c r="A180" s="1">
        <v>90396</v>
      </c>
    </row>
    <row r="181" spans="1:1" x14ac:dyDescent="0.25">
      <c r="A181" s="1">
        <v>44322</v>
      </c>
    </row>
    <row r="182" spans="1:1" x14ac:dyDescent="0.25">
      <c r="A182" s="1">
        <v>171626</v>
      </c>
    </row>
    <row r="183" spans="1:1" x14ac:dyDescent="0.25">
      <c r="A183" s="1">
        <v>25988</v>
      </c>
    </row>
    <row r="184" spans="1:1" x14ac:dyDescent="0.25">
      <c r="A184" s="1">
        <v>88205</v>
      </c>
    </row>
    <row r="185" spans="1:1" x14ac:dyDescent="0.25">
      <c r="A185" s="1">
        <v>105316</v>
      </c>
    </row>
    <row r="186" spans="1:1" x14ac:dyDescent="0.25">
      <c r="A186" s="1">
        <v>9717</v>
      </c>
    </row>
    <row r="187" spans="1:1" x14ac:dyDescent="0.25">
      <c r="A187" s="1">
        <v>95025</v>
      </c>
    </row>
    <row r="188" spans="1:1" x14ac:dyDescent="0.25">
      <c r="A188" s="1">
        <v>101864</v>
      </c>
    </row>
    <row r="189" spans="1:1" x14ac:dyDescent="0.25">
      <c r="A189" s="1">
        <v>87262</v>
      </c>
    </row>
    <row r="190" spans="1:1" x14ac:dyDescent="0.25">
      <c r="A190" s="1">
        <v>227154</v>
      </c>
    </row>
    <row r="191" spans="1:1" x14ac:dyDescent="0.25">
      <c r="A191" s="1">
        <v>3808</v>
      </c>
    </row>
    <row r="192" spans="1:1" x14ac:dyDescent="0.25">
      <c r="A192" s="1">
        <v>6171</v>
      </c>
    </row>
    <row r="193" spans="1:1" x14ac:dyDescent="0.25">
      <c r="A193" s="1">
        <v>128856</v>
      </c>
    </row>
    <row r="194" spans="1:1" x14ac:dyDescent="0.25">
      <c r="A194" s="1">
        <v>14396</v>
      </c>
    </row>
    <row r="195" spans="1:1" x14ac:dyDescent="0.25">
      <c r="A195" s="1">
        <v>9196</v>
      </c>
    </row>
    <row r="196" spans="1:1" x14ac:dyDescent="0.25">
      <c r="A196" s="1">
        <v>70418</v>
      </c>
    </row>
    <row r="197" spans="1:1" x14ac:dyDescent="0.25">
      <c r="A197" s="1">
        <v>60162</v>
      </c>
    </row>
    <row r="198" spans="1:1" x14ac:dyDescent="0.25">
      <c r="A198" s="1">
        <v>18744</v>
      </c>
    </row>
    <row r="199" spans="1:1" x14ac:dyDescent="0.25">
      <c r="A199" s="1">
        <v>9074</v>
      </c>
    </row>
    <row r="200" spans="1:1" x14ac:dyDescent="0.25">
      <c r="A200" s="1">
        <v>52535</v>
      </c>
    </row>
    <row r="201" spans="1:1" x14ac:dyDescent="0.25">
      <c r="A201" s="1">
        <v>68552</v>
      </c>
    </row>
    <row r="202" spans="1:1" x14ac:dyDescent="0.25">
      <c r="A202" s="1">
        <v>9313</v>
      </c>
    </row>
    <row r="203" spans="1:1" x14ac:dyDescent="0.25">
      <c r="A203" s="1">
        <v>3598</v>
      </c>
    </row>
    <row r="204" spans="1:1" x14ac:dyDescent="0.25">
      <c r="A204" s="1">
        <v>9016</v>
      </c>
    </row>
    <row r="205" spans="1:1" x14ac:dyDescent="0.25">
      <c r="A205" s="1">
        <v>11125</v>
      </c>
    </row>
    <row r="206" spans="1:1" x14ac:dyDescent="0.25">
      <c r="A206" s="1">
        <v>6440</v>
      </c>
    </row>
    <row r="207" spans="1:1" x14ac:dyDescent="0.25">
      <c r="A207" s="1">
        <v>173342</v>
      </c>
    </row>
    <row r="208" spans="1:1" x14ac:dyDescent="0.25">
      <c r="A208" s="1">
        <v>2910</v>
      </c>
    </row>
    <row r="209" spans="1:1" x14ac:dyDescent="0.25">
      <c r="A209" s="1">
        <v>4740</v>
      </c>
    </row>
    <row r="210" spans="1:1" x14ac:dyDescent="0.25">
      <c r="A210" s="1">
        <v>114264</v>
      </c>
    </row>
    <row r="211" spans="1:1" x14ac:dyDescent="0.25">
      <c r="A211" s="1">
        <v>136323</v>
      </c>
    </row>
    <row r="212" spans="1:1" x14ac:dyDescent="0.25">
      <c r="A212" s="1">
        <v>60704</v>
      </c>
    </row>
    <row r="213" spans="1:1" x14ac:dyDescent="0.25">
      <c r="A213" s="1">
        <v>37536</v>
      </c>
    </row>
    <row r="214" spans="1:1" x14ac:dyDescent="0.25">
      <c r="A214" s="1">
        <v>61074</v>
      </c>
    </row>
    <row r="215" spans="1:1" x14ac:dyDescent="0.25">
      <c r="A215" s="1">
        <v>36312</v>
      </c>
    </row>
    <row r="216" spans="1:1" x14ac:dyDescent="0.25">
      <c r="A216" s="1">
        <v>42394</v>
      </c>
    </row>
    <row r="217" spans="1:1" x14ac:dyDescent="0.25">
      <c r="A217" s="1">
        <v>198341</v>
      </c>
    </row>
    <row r="218" spans="1:1" x14ac:dyDescent="0.25">
      <c r="A218" s="1">
        <v>35405</v>
      </c>
    </row>
    <row r="219" spans="1:1" x14ac:dyDescent="0.25">
      <c r="A219" s="1">
        <v>4237</v>
      </c>
    </row>
    <row r="220" spans="1:1" x14ac:dyDescent="0.25">
      <c r="A220" s="1">
        <v>131064</v>
      </c>
    </row>
    <row r="221" spans="1:1" x14ac:dyDescent="0.25">
      <c r="A221" s="1">
        <v>44415</v>
      </c>
    </row>
    <row r="222" spans="1:1" x14ac:dyDescent="0.25">
      <c r="A222" s="1">
        <v>27648</v>
      </c>
    </row>
    <row r="223" spans="1:1" x14ac:dyDescent="0.25">
      <c r="A223" s="1">
        <v>83659</v>
      </c>
    </row>
    <row r="224" spans="1:1" x14ac:dyDescent="0.25">
      <c r="A224" s="1">
        <v>155344</v>
      </c>
    </row>
    <row r="225" spans="1:1" x14ac:dyDescent="0.25">
      <c r="A225" s="1">
        <v>47616</v>
      </c>
    </row>
    <row r="226" spans="1:1" x14ac:dyDescent="0.25">
      <c r="A226" s="1">
        <v>143705</v>
      </c>
    </row>
    <row r="227" spans="1:1" x14ac:dyDescent="0.25">
      <c r="A227" s="1">
        <v>8256</v>
      </c>
    </row>
    <row r="228" spans="1:1" x14ac:dyDescent="0.25">
      <c r="A228" s="1">
        <v>12818</v>
      </c>
    </row>
    <row r="229" spans="1:1" x14ac:dyDescent="0.25">
      <c r="A229" s="1">
        <v>150232</v>
      </c>
    </row>
    <row r="230" spans="1:1" x14ac:dyDescent="0.25">
      <c r="A230" s="1">
        <v>87514</v>
      </c>
    </row>
    <row r="231" spans="1:1" x14ac:dyDescent="0.25">
      <c r="A231" s="1">
        <v>49374</v>
      </c>
    </row>
    <row r="232" spans="1:1" x14ac:dyDescent="0.25">
      <c r="A232" s="1">
        <v>71545</v>
      </c>
    </row>
    <row r="233" spans="1:1" x14ac:dyDescent="0.25">
      <c r="A233" s="1">
        <v>60347</v>
      </c>
    </row>
    <row r="234" spans="1:1" x14ac:dyDescent="0.25">
      <c r="A234" s="1">
        <v>131364</v>
      </c>
    </row>
    <row r="235" spans="1:1" x14ac:dyDescent="0.25">
      <c r="A235" s="1">
        <v>43076</v>
      </c>
    </row>
    <row r="236" spans="1:1" x14ac:dyDescent="0.25">
      <c r="A236" s="1">
        <v>21828</v>
      </c>
    </row>
    <row r="237" spans="1:1" x14ac:dyDescent="0.25">
      <c r="A237" s="1">
        <v>152304</v>
      </c>
    </row>
    <row r="238" spans="1:1" x14ac:dyDescent="0.25">
      <c r="A238" s="1">
        <v>38184</v>
      </c>
    </row>
    <row r="239" spans="1:1" x14ac:dyDescent="0.25">
      <c r="A239" s="1">
        <v>20221</v>
      </c>
    </row>
    <row r="240" spans="1:1" x14ac:dyDescent="0.25">
      <c r="A240" s="1">
        <v>4185</v>
      </c>
    </row>
    <row r="241" spans="1:1" x14ac:dyDescent="0.25">
      <c r="A241" s="1">
        <v>145408</v>
      </c>
    </row>
    <row r="242" spans="1:1" x14ac:dyDescent="0.25">
      <c r="A242" s="1">
        <v>108088</v>
      </c>
    </row>
    <row r="243" spans="1:1" x14ac:dyDescent="0.25">
      <c r="A243" s="1">
        <v>44289</v>
      </c>
    </row>
    <row r="244" spans="1:1" x14ac:dyDescent="0.25">
      <c r="A244" s="1">
        <v>62263</v>
      </c>
    </row>
    <row r="245" spans="1:1" x14ac:dyDescent="0.25">
      <c r="A245" s="1">
        <v>57783</v>
      </c>
    </row>
    <row r="246" spans="1:1" x14ac:dyDescent="0.25">
      <c r="A246" s="1">
        <v>191678</v>
      </c>
    </row>
    <row r="247" spans="1:1" x14ac:dyDescent="0.25">
      <c r="A247" s="1">
        <v>17279</v>
      </c>
    </row>
    <row r="248" spans="1:1" x14ac:dyDescent="0.25">
      <c r="A248" s="1">
        <v>274949</v>
      </c>
    </row>
    <row r="249" spans="1:1" x14ac:dyDescent="0.25">
      <c r="A249" s="1">
        <v>41750</v>
      </c>
    </row>
    <row r="250" spans="1:1" x14ac:dyDescent="0.25">
      <c r="A250" s="1">
        <v>18602</v>
      </c>
    </row>
    <row r="251" spans="1:1" x14ac:dyDescent="0.25">
      <c r="A251" s="1">
        <v>55085</v>
      </c>
    </row>
    <row r="252" spans="1:1" x14ac:dyDescent="0.25">
      <c r="A252" s="1">
        <v>245338</v>
      </c>
    </row>
    <row r="253" spans="1:1" x14ac:dyDescent="0.25">
      <c r="A253" s="1">
        <v>251475</v>
      </c>
    </row>
    <row r="254" spans="1:1" x14ac:dyDescent="0.25">
      <c r="A254" s="1">
        <v>32968</v>
      </c>
    </row>
    <row r="255" spans="1:1" x14ac:dyDescent="0.25">
      <c r="A255" s="1">
        <v>227934</v>
      </c>
    </row>
    <row r="256" spans="1:1" x14ac:dyDescent="0.25">
      <c r="A256" s="1">
        <v>34748</v>
      </c>
    </row>
    <row r="257" spans="1:1" x14ac:dyDescent="0.25">
      <c r="A257" s="1">
        <v>157605</v>
      </c>
    </row>
    <row r="258" spans="1:1" x14ac:dyDescent="0.25">
      <c r="A258" s="1">
        <v>382956</v>
      </c>
    </row>
    <row r="259" spans="1:1" x14ac:dyDescent="0.25">
      <c r="A259" s="1">
        <v>412742</v>
      </c>
    </row>
    <row r="260" spans="1:1" x14ac:dyDescent="0.25">
      <c r="A260" s="1">
        <v>122876</v>
      </c>
    </row>
    <row r="261" spans="1:1" x14ac:dyDescent="0.25">
      <c r="A261" s="1">
        <v>12220</v>
      </c>
    </row>
    <row r="262" spans="1:1" x14ac:dyDescent="0.25">
      <c r="A262" s="1">
        <v>55722</v>
      </c>
    </row>
    <row r="263" spans="1:1" x14ac:dyDescent="0.25">
      <c r="A263" s="1">
        <v>29743</v>
      </c>
    </row>
    <row r="264" spans="1:1" x14ac:dyDescent="0.25">
      <c r="A264" s="1">
        <v>20757</v>
      </c>
    </row>
    <row r="265" spans="1:1" x14ac:dyDescent="0.25">
      <c r="A265" s="1">
        <v>194909</v>
      </c>
    </row>
    <row r="266" spans="1:1" x14ac:dyDescent="0.25">
      <c r="A266" s="1">
        <v>66248</v>
      </c>
    </row>
    <row r="267" spans="1:1" x14ac:dyDescent="0.25">
      <c r="A267" s="1">
        <v>136444</v>
      </c>
    </row>
    <row r="268" spans="1:1" x14ac:dyDescent="0.25">
      <c r="A268" s="1">
        <v>232596</v>
      </c>
    </row>
    <row r="269" spans="1:1" x14ac:dyDescent="0.25">
      <c r="A269" s="1">
        <v>207726</v>
      </c>
    </row>
    <row r="270" spans="1:1" x14ac:dyDescent="0.25">
      <c r="A270" s="1">
        <v>65509</v>
      </c>
    </row>
    <row r="271" spans="1:1" x14ac:dyDescent="0.25">
      <c r="A271" s="1">
        <v>23463</v>
      </c>
    </row>
    <row r="272" spans="1:1" x14ac:dyDescent="0.25">
      <c r="A272" s="1">
        <v>54501</v>
      </c>
    </row>
    <row r="273" spans="1:1" x14ac:dyDescent="0.25">
      <c r="A273" s="1">
        <v>170221</v>
      </c>
    </row>
    <row r="274" spans="1:1" x14ac:dyDescent="0.25">
      <c r="A274" s="1">
        <v>18816</v>
      </c>
    </row>
    <row r="275" spans="1:1" x14ac:dyDescent="0.25">
      <c r="A275" s="1">
        <v>33966</v>
      </c>
    </row>
    <row r="276" spans="1:1" x14ac:dyDescent="0.25">
      <c r="A276" s="1">
        <v>35616</v>
      </c>
    </row>
    <row r="277" spans="1:1" x14ac:dyDescent="0.25">
      <c r="A277" s="1">
        <v>21018</v>
      </c>
    </row>
    <row r="278" spans="1:1" x14ac:dyDescent="0.25">
      <c r="A278" s="1">
        <v>76557</v>
      </c>
    </row>
    <row r="279" spans="1:1" x14ac:dyDescent="0.25">
      <c r="A279" s="1">
        <v>21552</v>
      </c>
    </row>
    <row r="280" spans="1:1" x14ac:dyDescent="0.25">
      <c r="A280" s="1">
        <v>242853</v>
      </c>
    </row>
    <row r="281" spans="1:1" x14ac:dyDescent="0.25">
      <c r="A281" s="1">
        <v>56376</v>
      </c>
    </row>
    <row r="282" spans="1:1" x14ac:dyDescent="0.25">
      <c r="A282" s="1">
        <v>273528</v>
      </c>
    </row>
    <row r="283" spans="1:1" x14ac:dyDescent="0.25">
      <c r="A283" s="1">
        <v>6313</v>
      </c>
    </row>
    <row r="284" spans="1:1" x14ac:dyDescent="0.25">
      <c r="A284" s="1">
        <v>4017</v>
      </c>
    </row>
    <row r="285" spans="1:1" x14ac:dyDescent="0.25">
      <c r="A285" s="1">
        <v>37512</v>
      </c>
    </row>
    <row r="286" spans="1:1" x14ac:dyDescent="0.25">
      <c r="A286" s="1">
        <v>326566</v>
      </c>
    </row>
    <row r="287" spans="1:1" x14ac:dyDescent="0.25">
      <c r="A287" s="1">
        <v>123621</v>
      </c>
    </row>
    <row r="288" spans="1:1" x14ac:dyDescent="0.25">
      <c r="A288" s="1">
        <v>250848</v>
      </c>
    </row>
    <row r="289" spans="1:1" x14ac:dyDescent="0.25">
      <c r="A289" s="1">
        <v>5635</v>
      </c>
    </row>
    <row r="290" spans="1:1" x14ac:dyDescent="0.25">
      <c r="A290" s="1">
        <v>352968</v>
      </c>
    </row>
    <row r="291" spans="1:1" x14ac:dyDescent="0.25">
      <c r="A291" s="1">
        <v>26976</v>
      </c>
    </row>
    <row r="292" spans="1:1" x14ac:dyDescent="0.25">
      <c r="A292" s="1">
        <v>5967</v>
      </c>
    </row>
    <row r="293" spans="1:1" x14ac:dyDescent="0.25">
      <c r="A293" s="1">
        <v>36435</v>
      </c>
    </row>
    <row r="294" spans="1:1" x14ac:dyDescent="0.25">
      <c r="A294" s="1">
        <v>247604</v>
      </c>
    </row>
    <row r="295" spans="1:1" x14ac:dyDescent="0.25">
      <c r="A295" s="1">
        <v>48763</v>
      </c>
    </row>
    <row r="296" spans="1:1" x14ac:dyDescent="0.25">
      <c r="A296" s="1">
        <v>9177</v>
      </c>
    </row>
    <row r="297" spans="1:1" x14ac:dyDescent="0.25">
      <c r="A297" s="1">
        <v>21660</v>
      </c>
    </row>
    <row r="298" spans="1:1" x14ac:dyDescent="0.25">
      <c r="A298" s="1">
        <v>31049</v>
      </c>
    </row>
    <row r="299" spans="1:1" x14ac:dyDescent="0.25">
      <c r="A299" s="1">
        <v>27169</v>
      </c>
    </row>
    <row r="300" spans="1:1" x14ac:dyDescent="0.25">
      <c r="A300" s="1">
        <v>260032</v>
      </c>
    </row>
    <row r="301" spans="1:1" x14ac:dyDescent="0.25">
      <c r="A301" s="1">
        <v>29715</v>
      </c>
    </row>
    <row r="302" spans="1:1" x14ac:dyDescent="0.25">
      <c r="A302" s="1">
        <v>25419</v>
      </c>
    </row>
    <row r="303" spans="1:1" x14ac:dyDescent="0.25">
      <c r="A303" s="1">
        <v>11526</v>
      </c>
    </row>
    <row r="304" spans="1:1" x14ac:dyDescent="0.25">
      <c r="A304" s="1">
        <v>388696</v>
      </c>
    </row>
    <row r="305" spans="1:1" x14ac:dyDescent="0.25">
      <c r="A305" s="1">
        <v>6644</v>
      </c>
    </row>
    <row r="306" spans="1:1" x14ac:dyDescent="0.25">
      <c r="A306" s="1">
        <v>21894</v>
      </c>
    </row>
    <row r="307" spans="1:1" x14ac:dyDescent="0.25">
      <c r="A307" s="1">
        <v>337348</v>
      </c>
    </row>
    <row r="308" spans="1:1" x14ac:dyDescent="0.25">
      <c r="A308" s="1">
        <v>360675</v>
      </c>
    </row>
    <row r="309" spans="1:1" x14ac:dyDescent="0.25">
      <c r="A309" s="1">
        <v>3069</v>
      </c>
    </row>
    <row r="310" spans="1:1" x14ac:dyDescent="0.25">
      <c r="A310" s="1">
        <v>76284</v>
      </c>
    </row>
    <row r="311" spans="1:1" x14ac:dyDescent="0.25">
      <c r="A311" s="1">
        <v>154512</v>
      </c>
    </row>
    <row r="312" spans="1:1" x14ac:dyDescent="0.25">
      <c r="A312" s="1">
        <v>91616</v>
      </c>
    </row>
    <row r="313" spans="1:1" x14ac:dyDescent="0.25">
      <c r="A313" s="1">
        <v>51624</v>
      </c>
    </row>
    <row r="314" spans="1:1" x14ac:dyDescent="0.25">
      <c r="A314" s="1">
        <v>88026</v>
      </c>
    </row>
    <row r="315" spans="1:1" x14ac:dyDescent="0.25">
      <c r="A315" s="1">
        <v>6264</v>
      </c>
    </row>
    <row r="316" spans="1:1" x14ac:dyDescent="0.25">
      <c r="A316" s="1">
        <v>20272</v>
      </c>
    </row>
    <row r="317" spans="1:1" x14ac:dyDescent="0.25">
      <c r="A317" s="1">
        <v>70596</v>
      </c>
    </row>
    <row r="318" spans="1:1" x14ac:dyDescent="0.25">
      <c r="A318" s="1">
        <v>178724</v>
      </c>
    </row>
    <row r="319" spans="1:1" x14ac:dyDescent="0.25">
      <c r="A319" s="1">
        <v>62846</v>
      </c>
    </row>
    <row r="320" spans="1:1" x14ac:dyDescent="0.25">
      <c r="A320" s="1">
        <v>263467</v>
      </c>
    </row>
    <row r="321" spans="1:1" x14ac:dyDescent="0.25">
      <c r="A321" s="1">
        <v>34239</v>
      </c>
    </row>
    <row r="322" spans="1:1" x14ac:dyDescent="0.25">
      <c r="A322" s="1">
        <v>2508</v>
      </c>
    </row>
    <row r="323" spans="1:1" x14ac:dyDescent="0.25">
      <c r="A323" s="1">
        <v>298944</v>
      </c>
    </row>
    <row r="324" spans="1:1" x14ac:dyDescent="0.25">
      <c r="A324" s="1">
        <v>331487</v>
      </c>
    </row>
    <row r="325" spans="1:1" x14ac:dyDescent="0.25">
      <c r="A325" s="1">
        <v>6726</v>
      </c>
    </row>
    <row r="326" spans="1:1" x14ac:dyDescent="0.25">
      <c r="A326" s="1">
        <v>12816</v>
      </c>
    </row>
    <row r="327" spans="1:1" x14ac:dyDescent="0.25">
      <c r="A327" s="1">
        <v>67913</v>
      </c>
    </row>
    <row r="328" spans="1:1" x14ac:dyDescent="0.25">
      <c r="A328" s="1">
        <v>288075</v>
      </c>
    </row>
    <row r="329" spans="1:1" x14ac:dyDescent="0.25">
      <c r="A329" s="1">
        <v>145859</v>
      </c>
    </row>
    <row r="330" spans="1:1" x14ac:dyDescent="0.25">
      <c r="A330" s="1">
        <v>213864</v>
      </c>
    </row>
    <row r="331" spans="1:1" x14ac:dyDescent="0.25">
      <c r="A331" s="1">
        <v>4473</v>
      </c>
    </row>
    <row r="332" spans="1:1" x14ac:dyDescent="0.25">
      <c r="A332" s="1">
        <v>68598</v>
      </c>
    </row>
    <row r="333" spans="1:1" x14ac:dyDescent="0.25">
      <c r="A333" s="1">
        <v>446082</v>
      </c>
    </row>
    <row r="334" spans="1:1" x14ac:dyDescent="0.25">
      <c r="A334" s="1">
        <v>2805</v>
      </c>
    </row>
    <row r="335" spans="1:1" x14ac:dyDescent="0.25">
      <c r="A335" s="1">
        <v>186873</v>
      </c>
    </row>
    <row r="336" spans="1:1" x14ac:dyDescent="0.25">
      <c r="A336" s="1">
        <v>21240</v>
      </c>
    </row>
    <row r="337" spans="1:1" x14ac:dyDescent="0.25">
      <c r="A337" s="1">
        <v>24804</v>
      </c>
    </row>
    <row r="338" spans="1:1" x14ac:dyDescent="0.25">
      <c r="A338" s="1">
        <v>275352</v>
      </c>
    </row>
    <row r="339" spans="1:1" x14ac:dyDescent="0.25">
      <c r="A339" s="1">
        <v>282568</v>
      </c>
    </row>
    <row r="340" spans="1:1" x14ac:dyDescent="0.25">
      <c r="A340" s="1">
        <v>5082</v>
      </c>
    </row>
    <row r="341" spans="1:1" x14ac:dyDescent="0.25">
      <c r="A341" s="1">
        <v>42229</v>
      </c>
    </row>
    <row r="342" spans="1:1" x14ac:dyDescent="0.25">
      <c r="A342" s="1">
        <v>55811</v>
      </c>
    </row>
    <row r="343" spans="1:1" x14ac:dyDescent="0.25">
      <c r="A343" s="1">
        <v>56925</v>
      </c>
    </row>
    <row r="344" spans="1:1" x14ac:dyDescent="0.25">
      <c r="A344" s="1">
        <v>51597</v>
      </c>
    </row>
    <row r="345" spans="1:1" x14ac:dyDescent="0.25">
      <c r="A345" s="1">
        <v>238464</v>
      </c>
    </row>
    <row r="346" spans="1:1" x14ac:dyDescent="0.25">
      <c r="A346" s="1">
        <v>305118</v>
      </c>
    </row>
    <row r="347" spans="1:1" x14ac:dyDescent="0.25">
      <c r="A347" s="1">
        <v>16484</v>
      </c>
    </row>
    <row r="348" spans="1:1" x14ac:dyDescent="0.25">
      <c r="A348" s="1">
        <v>255602</v>
      </c>
    </row>
    <row r="349" spans="1:1" x14ac:dyDescent="0.25">
      <c r="A349" s="1">
        <v>27456</v>
      </c>
    </row>
    <row r="350" spans="1:1" x14ac:dyDescent="0.25">
      <c r="A350" s="1">
        <v>39066</v>
      </c>
    </row>
    <row r="351" spans="1:1" x14ac:dyDescent="0.25">
      <c r="A351" s="1">
        <v>297755</v>
      </c>
    </row>
    <row r="352" spans="1:1" x14ac:dyDescent="0.25">
      <c r="A352" s="1">
        <v>200917</v>
      </c>
    </row>
    <row r="353" spans="1:1" x14ac:dyDescent="0.25">
      <c r="A353" s="1">
        <v>276555</v>
      </c>
    </row>
    <row r="354" spans="1:1" x14ac:dyDescent="0.25">
      <c r="A354" s="1">
        <v>90246</v>
      </c>
    </row>
    <row r="355" spans="1:1" x14ac:dyDescent="0.25">
      <c r="A355" s="1">
        <v>22701</v>
      </c>
    </row>
    <row r="356" spans="1:1" x14ac:dyDescent="0.25">
      <c r="A356" s="1">
        <v>161912</v>
      </c>
    </row>
    <row r="357" spans="1:1" x14ac:dyDescent="0.25">
      <c r="A357" s="1">
        <v>4982</v>
      </c>
    </row>
    <row r="358" spans="1:1" x14ac:dyDescent="0.25">
      <c r="A358" s="1">
        <v>60528</v>
      </c>
    </row>
    <row r="359" spans="1:1" x14ac:dyDescent="0.25">
      <c r="A359" s="1">
        <v>31944</v>
      </c>
    </row>
    <row r="360" spans="1:1" x14ac:dyDescent="0.25">
      <c r="A360" s="1">
        <v>21315</v>
      </c>
    </row>
    <row r="361" spans="1:1" x14ac:dyDescent="0.25">
      <c r="A361" s="1">
        <v>257983</v>
      </c>
    </row>
    <row r="362" spans="1:1" x14ac:dyDescent="0.25">
      <c r="A362" s="1">
        <v>189744</v>
      </c>
    </row>
    <row r="363" spans="1:1" x14ac:dyDescent="0.25">
      <c r="A363" s="1">
        <v>37129</v>
      </c>
    </row>
    <row r="364" spans="1:1" x14ac:dyDescent="0.25">
      <c r="A364" s="1">
        <v>175824</v>
      </c>
    </row>
    <row r="365" spans="1:1" x14ac:dyDescent="0.25">
      <c r="A365" s="1">
        <v>67035</v>
      </c>
    </row>
    <row r="366" spans="1:1" x14ac:dyDescent="0.25">
      <c r="A366" s="1">
        <v>224434</v>
      </c>
    </row>
    <row r="367" spans="1:1" x14ac:dyDescent="0.25">
      <c r="A367" s="1">
        <v>257424</v>
      </c>
    </row>
    <row r="368" spans="1:1" x14ac:dyDescent="0.25">
      <c r="A368" s="1">
        <v>24453</v>
      </c>
    </row>
    <row r="369" spans="1:1" x14ac:dyDescent="0.25">
      <c r="A369" s="1">
        <v>432062</v>
      </c>
    </row>
    <row r="370" spans="1:1" x14ac:dyDescent="0.25">
      <c r="A370" s="1">
        <v>270912</v>
      </c>
    </row>
    <row r="371" spans="1:1" x14ac:dyDescent="0.25">
      <c r="A371" s="1">
        <v>185686</v>
      </c>
    </row>
    <row r="372" spans="1:1" x14ac:dyDescent="0.25">
      <c r="A372" s="1">
        <v>5888</v>
      </c>
    </row>
    <row r="373" spans="1:1" x14ac:dyDescent="0.25">
      <c r="A373" s="1">
        <v>19656</v>
      </c>
    </row>
    <row r="374" spans="1:1" x14ac:dyDescent="0.25">
      <c r="A374" s="1">
        <v>3399</v>
      </c>
    </row>
    <row r="375" spans="1:1" x14ac:dyDescent="0.25">
      <c r="A375" s="1">
        <v>348992</v>
      </c>
    </row>
    <row r="376" spans="1:1" x14ac:dyDescent="0.25">
      <c r="A376" s="1">
        <v>97527</v>
      </c>
    </row>
    <row r="377" spans="1:1" x14ac:dyDescent="0.25">
      <c r="A377" s="1">
        <v>260091</v>
      </c>
    </row>
    <row r="378" spans="1:1" x14ac:dyDescent="0.25">
      <c r="A378" s="1">
        <v>53445</v>
      </c>
    </row>
    <row r="379" spans="1:1" x14ac:dyDescent="0.25">
      <c r="A379" s="1">
        <v>342565</v>
      </c>
    </row>
    <row r="380" spans="1:1" x14ac:dyDescent="0.25">
      <c r="A380" s="1">
        <v>30495</v>
      </c>
    </row>
    <row r="381" spans="1:1" x14ac:dyDescent="0.25">
      <c r="A381" s="1">
        <v>297264</v>
      </c>
    </row>
    <row r="382" spans="1:1" x14ac:dyDescent="0.25">
      <c r="A382" s="1">
        <v>22919</v>
      </c>
    </row>
    <row r="383" spans="1:1" x14ac:dyDescent="0.25">
      <c r="A383" s="1">
        <v>13224</v>
      </c>
    </row>
    <row r="384" spans="1:1" x14ac:dyDescent="0.25">
      <c r="A384" s="1">
        <v>127782</v>
      </c>
    </row>
    <row r="385" spans="1:1" x14ac:dyDescent="0.25">
      <c r="A385" s="1">
        <v>6048</v>
      </c>
    </row>
    <row r="386" spans="1:1" x14ac:dyDescent="0.25">
      <c r="A386" s="1">
        <v>368032</v>
      </c>
    </row>
    <row r="387" spans="1:1" x14ac:dyDescent="0.25">
      <c r="A387" s="1">
        <v>7860</v>
      </c>
    </row>
    <row r="388" spans="1:1" x14ac:dyDescent="0.25">
      <c r="A388" s="1">
        <v>28548</v>
      </c>
    </row>
    <row r="389" spans="1:1" x14ac:dyDescent="0.25">
      <c r="A389" s="1">
        <v>31104</v>
      </c>
    </row>
    <row r="390" spans="1:1" x14ac:dyDescent="0.25">
      <c r="A390" s="1">
        <v>47908</v>
      </c>
    </row>
    <row r="391" spans="1:1" x14ac:dyDescent="0.25">
      <c r="A391" s="1">
        <v>27027</v>
      </c>
    </row>
    <row r="392" spans="1:1" x14ac:dyDescent="0.25">
      <c r="A392" s="1">
        <v>17264</v>
      </c>
    </row>
    <row r="393" spans="1:1" x14ac:dyDescent="0.25">
      <c r="A393" s="1">
        <v>267674</v>
      </c>
    </row>
    <row r="394" spans="1:1" x14ac:dyDescent="0.25">
      <c r="A394" s="1">
        <v>279837</v>
      </c>
    </row>
    <row r="395" spans="1:1" x14ac:dyDescent="0.25">
      <c r="A395" s="1">
        <v>217008</v>
      </c>
    </row>
    <row r="396" spans="1:1" x14ac:dyDescent="0.25">
      <c r="A396" s="1">
        <v>592</v>
      </c>
    </row>
    <row r="397" spans="1:1" x14ac:dyDescent="0.25">
      <c r="A397" s="1">
        <v>184212</v>
      </c>
    </row>
    <row r="398" spans="1:1" x14ac:dyDescent="0.25">
      <c r="A398" s="1">
        <v>256284</v>
      </c>
    </row>
    <row r="399" spans="1:1" x14ac:dyDescent="0.25">
      <c r="A399" s="1">
        <v>352811</v>
      </c>
    </row>
    <row r="400" spans="1:1" x14ac:dyDescent="0.25">
      <c r="A400" s="1">
        <v>32944</v>
      </c>
    </row>
    <row r="401" spans="1:1" x14ac:dyDescent="0.25">
      <c r="A401" s="1">
        <v>368676</v>
      </c>
    </row>
    <row r="402" spans="1:1" x14ac:dyDescent="0.25">
      <c r="A402" s="1">
        <v>366588</v>
      </c>
    </row>
    <row r="403" spans="1:1" x14ac:dyDescent="0.25">
      <c r="A403" s="1">
        <v>162658</v>
      </c>
    </row>
    <row r="404" spans="1:1" x14ac:dyDescent="0.25">
      <c r="A404" s="1">
        <v>7452</v>
      </c>
    </row>
    <row r="405" spans="1:1" x14ac:dyDescent="0.25">
      <c r="A405" s="1">
        <v>92444</v>
      </c>
    </row>
    <row r="406" spans="1:1" x14ac:dyDescent="0.25">
      <c r="A406" s="1">
        <v>24552</v>
      </c>
    </row>
    <row r="407" spans="1:1" x14ac:dyDescent="0.25">
      <c r="A407" s="1">
        <v>17516</v>
      </c>
    </row>
    <row r="408" spans="1:1" x14ac:dyDescent="0.25">
      <c r="A408" s="1">
        <v>183388</v>
      </c>
    </row>
    <row r="409" spans="1:1" x14ac:dyDescent="0.25">
      <c r="A409" s="1">
        <v>28441</v>
      </c>
    </row>
    <row r="410" spans="1:1" x14ac:dyDescent="0.25">
      <c r="A410" s="1">
        <v>300846</v>
      </c>
    </row>
    <row r="411" spans="1:1" x14ac:dyDescent="0.25">
      <c r="A411" s="1">
        <v>195349</v>
      </c>
    </row>
    <row r="412" spans="1:1" x14ac:dyDescent="0.25">
      <c r="A412" s="1">
        <v>214695</v>
      </c>
    </row>
    <row r="413" spans="1:1" x14ac:dyDescent="0.25">
      <c r="A413" s="1">
        <v>1526</v>
      </c>
    </row>
    <row r="414" spans="1:1" x14ac:dyDescent="0.25">
      <c r="A414" s="1">
        <v>273493</v>
      </c>
    </row>
    <row r="415" spans="1:1" x14ac:dyDescent="0.25">
      <c r="A415" s="1">
        <v>3920</v>
      </c>
    </row>
    <row r="416" spans="1:1" x14ac:dyDescent="0.25">
      <c r="A416" s="1">
        <v>63812</v>
      </c>
    </row>
    <row r="417" spans="1:1" x14ac:dyDescent="0.25">
      <c r="A417" s="1">
        <v>266352</v>
      </c>
    </row>
    <row r="418" spans="1:1" x14ac:dyDescent="0.25">
      <c r="A418" s="1">
        <v>35861</v>
      </c>
    </row>
    <row r="419" spans="1:1" x14ac:dyDescent="0.25">
      <c r="A419" s="1">
        <v>21240</v>
      </c>
    </row>
    <row r="420" spans="1:1" x14ac:dyDescent="0.25">
      <c r="A420" s="1">
        <v>191632</v>
      </c>
    </row>
    <row r="421" spans="1:1" x14ac:dyDescent="0.25">
      <c r="A421" s="1">
        <v>43365</v>
      </c>
    </row>
    <row r="422" spans="1:1" x14ac:dyDescent="0.25">
      <c r="A422" s="1">
        <v>29438</v>
      </c>
    </row>
    <row r="423" spans="1:1" x14ac:dyDescent="0.25">
      <c r="A423" s="1">
        <v>3145</v>
      </c>
    </row>
    <row r="424" spans="1:1" x14ac:dyDescent="0.25">
      <c r="A424" s="1">
        <v>380946</v>
      </c>
    </row>
    <row r="425" spans="1:1" x14ac:dyDescent="0.25">
      <c r="A425" s="1">
        <v>25536</v>
      </c>
    </row>
    <row r="426" spans="1:1" x14ac:dyDescent="0.25">
      <c r="A426" s="1">
        <v>41888</v>
      </c>
    </row>
    <row r="427" spans="1:1" x14ac:dyDescent="0.25">
      <c r="A427" s="1">
        <v>4658</v>
      </c>
    </row>
    <row r="428" spans="1:1" x14ac:dyDescent="0.25">
      <c r="A428" s="1">
        <v>424224</v>
      </c>
    </row>
    <row r="429" spans="1:1" x14ac:dyDescent="0.25">
      <c r="A429" s="1">
        <v>80795</v>
      </c>
    </row>
    <row r="430" spans="1:1" x14ac:dyDescent="0.25">
      <c r="A430" s="1">
        <v>335622</v>
      </c>
    </row>
    <row r="431" spans="1:1" x14ac:dyDescent="0.25">
      <c r="A431" s="1">
        <v>76422</v>
      </c>
    </row>
    <row r="432" spans="1:1" x14ac:dyDescent="0.25">
      <c r="A432" s="1">
        <v>49914</v>
      </c>
    </row>
    <row r="433" spans="1:1" x14ac:dyDescent="0.25">
      <c r="A433" s="1">
        <v>37324</v>
      </c>
    </row>
    <row r="434" spans="1:1" x14ac:dyDescent="0.25">
      <c r="A434" s="1">
        <v>25017</v>
      </c>
    </row>
    <row r="435" spans="1:1" x14ac:dyDescent="0.25">
      <c r="A435" s="1">
        <v>2730</v>
      </c>
    </row>
    <row r="436" spans="1:1" x14ac:dyDescent="0.25">
      <c r="A436" s="1">
        <v>6426</v>
      </c>
    </row>
    <row r="437" spans="1:1" x14ac:dyDescent="0.25">
      <c r="A437" s="1">
        <v>4600</v>
      </c>
    </row>
    <row r="438" spans="1:1" x14ac:dyDescent="0.25">
      <c r="A438" s="1">
        <v>280599</v>
      </c>
    </row>
    <row r="439" spans="1:1" x14ac:dyDescent="0.25">
      <c r="A439" s="1">
        <v>91022</v>
      </c>
    </row>
    <row r="440" spans="1:1" x14ac:dyDescent="0.25">
      <c r="A440" s="1">
        <v>69936</v>
      </c>
    </row>
    <row r="441" spans="1:1" x14ac:dyDescent="0.25">
      <c r="A441" s="1">
        <v>61824</v>
      </c>
    </row>
    <row r="442" spans="1:1" x14ac:dyDescent="0.25">
      <c r="A442" s="1">
        <v>330488</v>
      </c>
    </row>
    <row r="443" spans="1:1" x14ac:dyDescent="0.25">
      <c r="A443" s="1">
        <v>297202</v>
      </c>
    </row>
    <row r="444" spans="1:1" x14ac:dyDescent="0.25">
      <c r="A444" s="1">
        <v>335229</v>
      </c>
    </row>
    <row r="445" spans="1:1" x14ac:dyDescent="0.25">
      <c r="A445" s="1">
        <v>864</v>
      </c>
    </row>
    <row r="446" spans="1:1" x14ac:dyDescent="0.25">
      <c r="A446" s="1">
        <v>320634</v>
      </c>
    </row>
    <row r="447" spans="1:1" x14ac:dyDescent="0.25">
      <c r="A447" s="1">
        <v>32706</v>
      </c>
    </row>
    <row r="448" spans="1:1" x14ac:dyDescent="0.25">
      <c r="A448" s="1">
        <v>258564</v>
      </c>
    </row>
    <row r="449" spans="1:1" x14ac:dyDescent="0.25">
      <c r="A449" s="1">
        <v>4410</v>
      </c>
    </row>
    <row r="450" spans="1:1" x14ac:dyDescent="0.25">
      <c r="A450" s="1">
        <v>40888</v>
      </c>
    </row>
    <row r="451" spans="1:1" x14ac:dyDescent="0.25">
      <c r="A451" s="1">
        <v>35773</v>
      </c>
    </row>
    <row r="452" spans="1:1" x14ac:dyDescent="0.25">
      <c r="A452" s="1">
        <v>33264</v>
      </c>
    </row>
    <row r="453" spans="1:1" x14ac:dyDescent="0.25">
      <c r="A453" s="1">
        <v>391235</v>
      </c>
    </row>
    <row r="454" spans="1:1" x14ac:dyDescent="0.25">
      <c r="A454" s="1">
        <v>61541</v>
      </c>
    </row>
    <row r="455" spans="1:1" x14ac:dyDescent="0.25">
      <c r="A455" s="1">
        <v>38967</v>
      </c>
    </row>
    <row r="456" spans="1:1" x14ac:dyDescent="0.25">
      <c r="A456" s="1">
        <v>48276</v>
      </c>
    </row>
    <row r="457" spans="1:1" x14ac:dyDescent="0.25">
      <c r="A457" s="1">
        <v>25415</v>
      </c>
    </row>
    <row r="458" spans="1:1" x14ac:dyDescent="0.25">
      <c r="A458" s="1">
        <v>79206</v>
      </c>
    </row>
    <row r="459" spans="1:1" x14ac:dyDescent="0.25">
      <c r="A459" s="1">
        <v>60672</v>
      </c>
    </row>
    <row r="460" spans="1:1" x14ac:dyDescent="0.25">
      <c r="A460" s="1">
        <v>22218</v>
      </c>
    </row>
    <row r="461" spans="1:1" x14ac:dyDescent="0.25">
      <c r="A461" s="1">
        <v>262596</v>
      </c>
    </row>
    <row r="462" spans="1:1" x14ac:dyDescent="0.25">
      <c r="A462" s="1">
        <v>41781</v>
      </c>
    </row>
    <row r="463" spans="1:1" x14ac:dyDescent="0.25">
      <c r="A463" s="1">
        <v>379711</v>
      </c>
    </row>
    <row r="464" spans="1:1" x14ac:dyDescent="0.25">
      <c r="A464" s="1">
        <v>42804</v>
      </c>
    </row>
    <row r="465" spans="1:1" x14ac:dyDescent="0.25">
      <c r="A465" s="1">
        <v>50546</v>
      </c>
    </row>
    <row r="466" spans="1:1" x14ac:dyDescent="0.25">
      <c r="A466" s="1">
        <v>5240</v>
      </c>
    </row>
    <row r="467" spans="1:1" x14ac:dyDescent="0.25">
      <c r="A467" s="1">
        <v>376584</v>
      </c>
    </row>
    <row r="468" spans="1:1" x14ac:dyDescent="0.25">
      <c r="A468" s="1">
        <v>27216</v>
      </c>
    </row>
    <row r="469" spans="1:1" x14ac:dyDescent="0.25">
      <c r="A469" s="1">
        <v>57771</v>
      </c>
    </row>
    <row r="470" spans="1:1" x14ac:dyDescent="0.25">
      <c r="A470" s="1">
        <v>44625</v>
      </c>
    </row>
    <row r="471" spans="1:1" x14ac:dyDescent="0.25">
      <c r="A471" s="1">
        <v>51324</v>
      </c>
    </row>
    <row r="472" spans="1:1" x14ac:dyDescent="0.25">
      <c r="A472" s="1">
        <v>3942</v>
      </c>
    </row>
    <row r="473" spans="1:1" x14ac:dyDescent="0.25">
      <c r="A473" s="1">
        <v>39298</v>
      </c>
    </row>
    <row r="474" spans="1:1" x14ac:dyDescent="0.25">
      <c r="A474" s="1">
        <v>24696</v>
      </c>
    </row>
    <row r="475" spans="1:1" x14ac:dyDescent="0.25">
      <c r="A475" s="1">
        <v>75946</v>
      </c>
    </row>
    <row r="476" spans="1:1" x14ac:dyDescent="0.25">
      <c r="A476" s="1">
        <v>322092</v>
      </c>
    </row>
    <row r="477" spans="1:1" x14ac:dyDescent="0.25">
      <c r="A477" s="1">
        <v>431574</v>
      </c>
    </row>
    <row r="478" spans="1:1" x14ac:dyDescent="0.25">
      <c r="A478" s="1">
        <v>462169</v>
      </c>
    </row>
    <row r="479" spans="1:1" x14ac:dyDescent="0.25">
      <c r="A479" s="1">
        <v>4788</v>
      </c>
    </row>
    <row r="480" spans="1:1" x14ac:dyDescent="0.25">
      <c r="A480" s="1">
        <v>131285</v>
      </c>
    </row>
    <row r="481" spans="1:1" x14ac:dyDescent="0.25">
      <c r="A481" s="1">
        <v>54984</v>
      </c>
    </row>
    <row r="482" spans="1:1" x14ac:dyDescent="0.25">
      <c r="A482" s="1">
        <v>42112</v>
      </c>
    </row>
    <row r="483" spans="1:1" x14ac:dyDescent="0.25">
      <c r="A483" s="1">
        <v>59598</v>
      </c>
    </row>
    <row r="484" spans="1:1" x14ac:dyDescent="0.25">
      <c r="A484" s="1">
        <v>64253</v>
      </c>
    </row>
    <row r="485" spans="1:1" x14ac:dyDescent="0.25">
      <c r="A485" s="1">
        <v>38584</v>
      </c>
    </row>
    <row r="486" spans="1:1" x14ac:dyDescent="0.25">
      <c r="A486" s="1">
        <v>321958</v>
      </c>
    </row>
    <row r="487" spans="1:1" x14ac:dyDescent="0.25">
      <c r="A487" s="1">
        <v>49896</v>
      </c>
    </row>
    <row r="488" spans="1:1" x14ac:dyDescent="0.25">
      <c r="A488" s="1">
        <v>95555</v>
      </c>
    </row>
    <row r="489" spans="1:1" x14ac:dyDescent="0.25">
      <c r="A489" s="1">
        <v>29280</v>
      </c>
    </row>
    <row r="490" spans="1:1" x14ac:dyDescent="0.25">
      <c r="A490" s="1">
        <v>36295</v>
      </c>
    </row>
    <row r="491" spans="1:1" x14ac:dyDescent="0.25">
      <c r="A491" s="1">
        <v>79124</v>
      </c>
    </row>
    <row r="492" spans="1:1" x14ac:dyDescent="0.25">
      <c r="A492" s="1">
        <v>41395</v>
      </c>
    </row>
    <row r="493" spans="1:1" x14ac:dyDescent="0.25">
      <c r="A493" s="1">
        <v>60996</v>
      </c>
    </row>
    <row r="494" spans="1:1" x14ac:dyDescent="0.25">
      <c r="A494" s="1">
        <v>466755</v>
      </c>
    </row>
    <row r="495" spans="1:1" x14ac:dyDescent="0.25">
      <c r="A495" s="1">
        <v>26945</v>
      </c>
    </row>
    <row r="496" spans="1:1" x14ac:dyDescent="0.25">
      <c r="A496" s="1">
        <v>58877</v>
      </c>
    </row>
    <row r="497" spans="1:1" x14ac:dyDescent="0.25">
      <c r="A497" s="1">
        <v>4731</v>
      </c>
    </row>
    <row r="498" spans="1:1" x14ac:dyDescent="0.25">
      <c r="A498" s="1">
        <v>3128</v>
      </c>
    </row>
    <row r="499" spans="1:1" x14ac:dyDescent="0.25">
      <c r="A499" s="1">
        <v>59644</v>
      </c>
    </row>
    <row r="500" spans="1:1" x14ac:dyDescent="0.25">
      <c r="A500" s="1">
        <v>45657</v>
      </c>
    </row>
    <row r="501" spans="1:1" x14ac:dyDescent="0.25">
      <c r="A501" s="1">
        <v>4095</v>
      </c>
    </row>
    <row r="502" spans="1:1" x14ac:dyDescent="0.25">
      <c r="A502" s="1">
        <v>5724</v>
      </c>
    </row>
    <row r="503" spans="1:1" x14ac:dyDescent="0.25">
      <c r="A503" s="1">
        <v>370267</v>
      </c>
    </row>
    <row r="504" spans="1:1" x14ac:dyDescent="0.25">
      <c r="A504" s="1">
        <v>1968</v>
      </c>
    </row>
    <row r="505" spans="1:1" x14ac:dyDescent="0.25">
      <c r="A505" s="1">
        <v>68904</v>
      </c>
    </row>
    <row r="506" spans="1:1" x14ac:dyDescent="0.25">
      <c r="A506" s="1">
        <v>25043</v>
      </c>
    </row>
    <row r="507" spans="1:1" x14ac:dyDescent="0.25">
      <c r="A507" s="1">
        <v>387549</v>
      </c>
    </row>
    <row r="508" spans="1:1" x14ac:dyDescent="0.25">
      <c r="A508" s="1">
        <v>73948</v>
      </c>
    </row>
    <row r="509" spans="1:1" x14ac:dyDescent="0.25">
      <c r="A509" s="1">
        <v>27265</v>
      </c>
    </row>
    <row r="510" spans="1:1" x14ac:dyDescent="0.25">
      <c r="A510" s="1">
        <v>7560</v>
      </c>
    </row>
    <row r="511" spans="1:1" x14ac:dyDescent="0.25">
      <c r="A511" s="1">
        <v>37599</v>
      </c>
    </row>
    <row r="512" spans="1:1" x14ac:dyDescent="0.25">
      <c r="A512" s="1">
        <v>70518</v>
      </c>
    </row>
    <row r="513" spans="1:1" x14ac:dyDescent="0.25">
      <c r="A513" s="1">
        <v>4600</v>
      </c>
    </row>
    <row r="514" spans="1:1" x14ac:dyDescent="0.25">
      <c r="A514" s="1">
        <v>460525</v>
      </c>
    </row>
    <row r="515" spans="1:1" x14ac:dyDescent="0.25">
      <c r="A515" s="1">
        <v>51958</v>
      </c>
    </row>
    <row r="516" spans="1:1" x14ac:dyDescent="0.25">
      <c r="A516" s="1">
        <v>546912</v>
      </c>
    </row>
    <row r="517" spans="1:1" x14ac:dyDescent="0.25">
      <c r="A517" s="1">
        <v>67348</v>
      </c>
    </row>
    <row r="518" spans="1:1" x14ac:dyDescent="0.25">
      <c r="A518" s="1">
        <v>76538</v>
      </c>
    </row>
    <row r="519" spans="1:1" x14ac:dyDescent="0.25">
      <c r="A519" s="1">
        <v>569646</v>
      </c>
    </row>
    <row r="520" spans="1:1" x14ac:dyDescent="0.25">
      <c r="A520" s="1">
        <v>94254</v>
      </c>
    </row>
    <row r="521" spans="1:1" x14ac:dyDescent="0.25">
      <c r="A521" s="1">
        <v>49432</v>
      </c>
    </row>
    <row r="522" spans="1:1" x14ac:dyDescent="0.25">
      <c r="A522" s="1">
        <v>218708</v>
      </c>
    </row>
    <row r="523" spans="1:1" x14ac:dyDescent="0.25">
      <c r="A523" s="1">
        <v>45402</v>
      </c>
    </row>
    <row r="524" spans="1:1" x14ac:dyDescent="0.25">
      <c r="A524" s="1">
        <v>19809</v>
      </c>
    </row>
    <row r="525" spans="1:1" x14ac:dyDescent="0.25">
      <c r="A525" s="1">
        <v>53865</v>
      </c>
    </row>
    <row r="526" spans="1:1" x14ac:dyDescent="0.25">
      <c r="A526" s="1">
        <v>53867</v>
      </c>
    </row>
    <row r="527" spans="1:1" x14ac:dyDescent="0.25">
      <c r="A527" s="1">
        <v>5220</v>
      </c>
    </row>
    <row r="528" spans="1:1" x14ac:dyDescent="0.25">
      <c r="A528" s="1">
        <v>452994</v>
      </c>
    </row>
    <row r="529" spans="1:1" x14ac:dyDescent="0.25">
      <c r="A529" s="1">
        <v>204052</v>
      </c>
    </row>
    <row r="530" spans="1:1" x14ac:dyDescent="0.25">
      <c r="A530" s="1">
        <v>42687</v>
      </c>
    </row>
    <row r="531" spans="1:1" x14ac:dyDescent="0.25">
      <c r="A531" s="1">
        <v>3303</v>
      </c>
    </row>
    <row r="532" spans="1:1" x14ac:dyDescent="0.25">
      <c r="A532" s="1">
        <v>51304</v>
      </c>
    </row>
    <row r="533" spans="1:1" x14ac:dyDescent="0.25">
      <c r="A533" s="1">
        <v>7905</v>
      </c>
    </row>
    <row r="534" spans="1:1" x14ac:dyDescent="0.25">
      <c r="A534" s="1">
        <v>36002</v>
      </c>
    </row>
    <row r="535" spans="1:1" x14ac:dyDescent="0.25">
      <c r="A535" s="1">
        <v>5084</v>
      </c>
    </row>
    <row r="536" spans="1:1" x14ac:dyDescent="0.25">
      <c r="A536" s="1">
        <v>62496</v>
      </c>
    </row>
    <row r="537" spans="1:1" x14ac:dyDescent="0.25">
      <c r="A537" s="1">
        <v>33456</v>
      </c>
    </row>
    <row r="538" spans="1:1" x14ac:dyDescent="0.25">
      <c r="A538" s="1">
        <v>34224</v>
      </c>
    </row>
    <row r="539" spans="1:1" x14ac:dyDescent="0.25">
      <c r="A539" s="1">
        <v>30828</v>
      </c>
    </row>
    <row r="540" spans="1:1" x14ac:dyDescent="0.25">
      <c r="A540" s="1">
        <v>3726</v>
      </c>
    </row>
    <row r="541" spans="1:1" x14ac:dyDescent="0.25">
      <c r="A541" s="1">
        <v>37184</v>
      </c>
    </row>
    <row r="542" spans="1:1" x14ac:dyDescent="0.25">
      <c r="A542" s="1">
        <v>7504</v>
      </c>
    </row>
    <row r="543" spans="1:1" x14ac:dyDescent="0.25">
      <c r="A543" s="1">
        <v>32785</v>
      </c>
    </row>
    <row r="544" spans="1:1" x14ac:dyDescent="0.25">
      <c r="A544" s="1">
        <v>4234</v>
      </c>
    </row>
    <row r="545" spans="1:1" x14ac:dyDescent="0.25">
      <c r="A545" s="1">
        <v>86904</v>
      </c>
    </row>
    <row r="546" spans="1:1" x14ac:dyDescent="0.25">
      <c r="A546" s="1">
        <v>30731</v>
      </c>
    </row>
    <row r="547" spans="1:1" x14ac:dyDescent="0.25">
      <c r="A547" s="1">
        <v>86944</v>
      </c>
    </row>
    <row r="548" spans="1:1" x14ac:dyDescent="0.25">
      <c r="A548" s="1">
        <v>68808</v>
      </c>
    </row>
    <row r="549" spans="1:1" x14ac:dyDescent="0.25">
      <c r="A549" s="1">
        <v>43218</v>
      </c>
    </row>
    <row r="550" spans="1:1" x14ac:dyDescent="0.25">
      <c r="A550" s="1">
        <v>56848</v>
      </c>
    </row>
    <row r="551" spans="1:1" x14ac:dyDescent="0.25">
      <c r="A551" s="1">
        <v>70272</v>
      </c>
    </row>
    <row r="552" spans="1:1" x14ac:dyDescent="0.25">
      <c r="A552" s="1">
        <v>27692</v>
      </c>
    </row>
    <row r="553" spans="1:1" x14ac:dyDescent="0.25">
      <c r="A553" s="1">
        <v>46455</v>
      </c>
    </row>
    <row r="554" spans="1:1" x14ac:dyDescent="0.25">
      <c r="A554" s="1">
        <v>257355</v>
      </c>
    </row>
    <row r="555" spans="1:1" x14ac:dyDescent="0.25">
      <c r="A555" s="1">
        <v>52456</v>
      </c>
    </row>
    <row r="556" spans="1:1" x14ac:dyDescent="0.25">
      <c r="A556" s="1">
        <v>95078</v>
      </c>
    </row>
    <row r="557" spans="1:1" x14ac:dyDescent="0.25">
      <c r="A557" s="1">
        <v>4225</v>
      </c>
    </row>
    <row r="558" spans="1:1" x14ac:dyDescent="0.25">
      <c r="A558" s="1">
        <v>87024</v>
      </c>
    </row>
    <row r="559" spans="1:1" x14ac:dyDescent="0.25">
      <c r="A559" s="1">
        <v>311455</v>
      </c>
    </row>
    <row r="560" spans="1:1" x14ac:dyDescent="0.25">
      <c r="A560" s="1">
        <v>271446</v>
      </c>
    </row>
    <row r="561" spans="1:1" x14ac:dyDescent="0.25">
      <c r="A561" s="1">
        <v>30121</v>
      </c>
    </row>
    <row r="562" spans="1:1" x14ac:dyDescent="0.25">
      <c r="A562" s="1">
        <v>56496</v>
      </c>
    </row>
    <row r="563" spans="1:1" x14ac:dyDescent="0.25">
      <c r="A563" s="1">
        <v>47816</v>
      </c>
    </row>
    <row r="564" spans="1:1" x14ac:dyDescent="0.25">
      <c r="A564" s="1">
        <v>60006</v>
      </c>
    </row>
    <row r="565" spans="1:1" x14ac:dyDescent="0.25">
      <c r="A565" s="1">
        <v>84373</v>
      </c>
    </row>
    <row r="566" spans="1:1" x14ac:dyDescent="0.25">
      <c r="A566" s="1">
        <v>25066</v>
      </c>
    </row>
    <row r="567" spans="1:1" x14ac:dyDescent="0.25">
      <c r="A567" s="1">
        <v>51561</v>
      </c>
    </row>
    <row r="568" spans="1:1" x14ac:dyDescent="0.25">
      <c r="A568" s="1">
        <v>6499</v>
      </c>
    </row>
    <row r="569" spans="1:1" x14ac:dyDescent="0.25">
      <c r="A569" s="1">
        <v>356314</v>
      </c>
    </row>
    <row r="570" spans="1:1" x14ac:dyDescent="0.25">
      <c r="A570" s="1">
        <v>46240</v>
      </c>
    </row>
    <row r="571" spans="1:1" x14ac:dyDescent="0.25">
      <c r="A571" s="1">
        <v>72336</v>
      </c>
    </row>
    <row r="572" spans="1:1" x14ac:dyDescent="0.25">
      <c r="A572" s="1">
        <v>5499</v>
      </c>
    </row>
    <row r="573" spans="1:1" x14ac:dyDescent="0.25">
      <c r="A573" s="1">
        <v>404973</v>
      </c>
    </row>
    <row r="574" spans="1:1" x14ac:dyDescent="0.25">
      <c r="A574" s="1">
        <v>38356</v>
      </c>
    </row>
    <row r="575" spans="1:1" x14ac:dyDescent="0.25">
      <c r="A575" s="1">
        <v>6341</v>
      </c>
    </row>
    <row r="576" spans="1:1" x14ac:dyDescent="0.25">
      <c r="A576" s="1">
        <v>50337</v>
      </c>
    </row>
    <row r="577" spans="1:1" x14ac:dyDescent="0.25">
      <c r="A577" s="1">
        <v>52635</v>
      </c>
    </row>
    <row r="578" spans="1:1" x14ac:dyDescent="0.25">
      <c r="A578" s="1">
        <v>19388</v>
      </c>
    </row>
    <row r="579" spans="1:1" x14ac:dyDescent="0.25">
      <c r="A579" s="1">
        <v>258648</v>
      </c>
    </row>
    <row r="580" spans="1:1" x14ac:dyDescent="0.25">
      <c r="A580" s="1">
        <v>57268</v>
      </c>
    </row>
    <row r="581" spans="1:1" x14ac:dyDescent="0.25">
      <c r="A581" s="1">
        <v>422868</v>
      </c>
    </row>
    <row r="582" spans="1:1" x14ac:dyDescent="0.25">
      <c r="A582" s="1">
        <v>432744</v>
      </c>
    </row>
    <row r="583" spans="1:1" x14ac:dyDescent="0.25">
      <c r="A583" s="1">
        <v>1344</v>
      </c>
    </row>
    <row r="584" spans="1:1" x14ac:dyDescent="0.25">
      <c r="A584" s="1">
        <v>55292</v>
      </c>
    </row>
    <row r="585" spans="1:1" x14ac:dyDescent="0.25">
      <c r="A585" s="1">
        <v>46231</v>
      </c>
    </row>
    <row r="586" spans="1:1" x14ac:dyDescent="0.25">
      <c r="A586" s="1">
        <v>6021</v>
      </c>
    </row>
    <row r="587" spans="1:1" x14ac:dyDescent="0.25">
      <c r="A587" s="1">
        <v>76033</v>
      </c>
    </row>
    <row r="588" spans="1:1" x14ac:dyDescent="0.25">
      <c r="A588" s="1">
        <v>89516</v>
      </c>
    </row>
    <row r="589" spans="1:1" x14ac:dyDescent="0.25">
      <c r="A589" s="1">
        <v>96224</v>
      </c>
    </row>
    <row r="590" spans="1:1" x14ac:dyDescent="0.25">
      <c r="A590" s="1">
        <v>84018</v>
      </c>
    </row>
    <row r="591" spans="1:1" x14ac:dyDescent="0.25">
      <c r="A591" s="1">
        <v>213012</v>
      </c>
    </row>
    <row r="592" spans="1:1" x14ac:dyDescent="0.25">
      <c r="A592" s="1">
        <v>67332</v>
      </c>
    </row>
    <row r="593" spans="1:1" x14ac:dyDescent="0.25">
      <c r="A593" s="1">
        <v>121477</v>
      </c>
    </row>
    <row r="594" spans="1:1" x14ac:dyDescent="0.25">
      <c r="A594" s="1">
        <v>146016</v>
      </c>
    </row>
    <row r="595" spans="1:1" x14ac:dyDescent="0.25">
      <c r="A595" s="1">
        <v>77043</v>
      </c>
    </row>
    <row r="596" spans="1:1" x14ac:dyDescent="0.25">
      <c r="A596" s="1">
        <v>162927</v>
      </c>
    </row>
    <row r="597" spans="1:1" x14ac:dyDescent="0.25">
      <c r="A597" s="1">
        <v>17043</v>
      </c>
    </row>
    <row r="598" spans="1:1" x14ac:dyDescent="0.25">
      <c r="A598" s="1">
        <v>208791</v>
      </c>
    </row>
    <row r="599" spans="1:1" x14ac:dyDescent="0.25">
      <c r="A599" s="1">
        <v>434</v>
      </c>
    </row>
    <row r="600" spans="1:1" x14ac:dyDescent="0.25">
      <c r="A600" s="1">
        <v>18576</v>
      </c>
    </row>
    <row r="601" spans="1:1" x14ac:dyDescent="0.25">
      <c r="A601" s="1">
        <v>188669</v>
      </c>
    </row>
    <row r="602" spans="1:1" x14ac:dyDescent="0.25">
      <c r="A602" s="1">
        <v>23290</v>
      </c>
    </row>
    <row r="603" spans="1:1" x14ac:dyDescent="0.25">
      <c r="A603" s="1">
        <v>39249</v>
      </c>
    </row>
    <row r="604" spans="1:1" x14ac:dyDescent="0.25">
      <c r="A604" s="1">
        <v>112104</v>
      </c>
    </row>
    <row r="605" spans="1:1" x14ac:dyDescent="0.25">
      <c r="A605" s="1">
        <v>158898</v>
      </c>
    </row>
    <row r="606" spans="1:1" x14ac:dyDescent="0.25">
      <c r="A606" s="1">
        <v>94764</v>
      </c>
    </row>
    <row r="607" spans="1:1" x14ac:dyDescent="0.25">
      <c r="A607" s="1">
        <v>14448</v>
      </c>
    </row>
    <row r="608" spans="1:1" x14ac:dyDescent="0.25">
      <c r="A608" s="1">
        <v>13370</v>
      </c>
    </row>
    <row r="609" spans="1:1" x14ac:dyDescent="0.25">
      <c r="A609" s="1">
        <v>13104</v>
      </c>
    </row>
    <row r="610" spans="1:1" x14ac:dyDescent="0.25">
      <c r="A610" s="1">
        <v>128414</v>
      </c>
    </row>
    <row r="611" spans="1:1" x14ac:dyDescent="0.25">
      <c r="A611" s="1">
        <v>197446</v>
      </c>
    </row>
    <row r="612" spans="1:1" x14ac:dyDescent="0.25">
      <c r="A612" s="1">
        <v>120414</v>
      </c>
    </row>
    <row r="613" spans="1:1" x14ac:dyDescent="0.25">
      <c r="A613" s="1">
        <v>94856</v>
      </c>
    </row>
    <row r="614" spans="1:1" x14ac:dyDescent="0.25">
      <c r="A614" s="1">
        <v>162644</v>
      </c>
    </row>
    <row r="615" spans="1:1" x14ac:dyDescent="0.25">
      <c r="A615" s="1">
        <v>25452</v>
      </c>
    </row>
    <row r="616" spans="1:1" x14ac:dyDescent="0.25">
      <c r="A616" s="1">
        <v>151512</v>
      </c>
    </row>
    <row r="617" spans="1:1" x14ac:dyDescent="0.25">
      <c r="A617" s="1">
        <v>20925</v>
      </c>
    </row>
    <row r="618" spans="1:1" x14ac:dyDescent="0.25">
      <c r="A618" s="1">
        <v>170366</v>
      </c>
    </row>
    <row r="619" spans="1:1" x14ac:dyDescent="0.25">
      <c r="A619" s="1">
        <v>108142</v>
      </c>
    </row>
    <row r="620" spans="1:1" x14ac:dyDescent="0.25">
      <c r="A620" s="1">
        <v>177018</v>
      </c>
    </row>
    <row r="621" spans="1:1" x14ac:dyDescent="0.25">
      <c r="A621" s="1">
        <v>4484</v>
      </c>
    </row>
    <row r="622" spans="1:1" x14ac:dyDescent="0.25">
      <c r="A622" s="1">
        <v>15312</v>
      </c>
    </row>
    <row r="623" spans="1:1" x14ac:dyDescent="0.25">
      <c r="A623" s="1">
        <v>148903</v>
      </c>
    </row>
    <row r="624" spans="1:1" x14ac:dyDescent="0.25">
      <c r="A624" s="1">
        <v>158877</v>
      </c>
    </row>
    <row r="625" spans="1:1" x14ac:dyDescent="0.25">
      <c r="A625" s="1">
        <v>8596</v>
      </c>
    </row>
    <row r="626" spans="1:1" x14ac:dyDescent="0.25">
      <c r="A626" s="1">
        <v>135983</v>
      </c>
    </row>
    <row r="627" spans="1:1" x14ac:dyDescent="0.25">
      <c r="A627" s="1">
        <v>337264</v>
      </c>
    </row>
    <row r="628" spans="1:1" x14ac:dyDescent="0.25">
      <c r="A628" s="1">
        <v>171035</v>
      </c>
    </row>
    <row r="629" spans="1:1" x14ac:dyDescent="0.25">
      <c r="A629" s="1">
        <v>5239</v>
      </c>
    </row>
    <row r="630" spans="1:1" x14ac:dyDescent="0.25">
      <c r="A630" s="1">
        <v>138212</v>
      </c>
    </row>
    <row r="631" spans="1:1" x14ac:dyDescent="0.25">
      <c r="A631" s="1">
        <v>144946</v>
      </c>
    </row>
    <row r="632" spans="1:1" x14ac:dyDescent="0.25">
      <c r="A632" s="1">
        <v>183326</v>
      </c>
    </row>
    <row r="633" spans="1:1" x14ac:dyDescent="0.25">
      <c r="A633" s="1">
        <v>9312</v>
      </c>
    </row>
    <row r="634" spans="1:1" x14ac:dyDescent="0.25">
      <c r="A634" s="1">
        <v>227368</v>
      </c>
    </row>
    <row r="635" spans="1:1" x14ac:dyDescent="0.25">
      <c r="A635" s="1">
        <v>91806</v>
      </c>
    </row>
    <row r="636" spans="1:1" x14ac:dyDescent="0.25">
      <c r="A636" s="1">
        <v>107876</v>
      </c>
    </row>
    <row r="637" spans="1:1" x14ac:dyDescent="0.25">
      <c r="A637" s="1">
        <v>182468</v>
      </c>
    </row>
    <row r="638" spans="1:1" x14ac:dyDescent="0.25">
      <c r="A638" s="1">
        <v>206611</v>
      </c>
    </row>
    <row r="639" spans="1:1" x14ac:dyDescent="0.25">
      <c r="A639" s="1">
        <v>88872</v>
      </c>
    </row>
    <row r="640" spans="1:1" x14ac:dyDescent="0.25">
      <c r="A640" s="1">
        <v>177016</v>
      </c>
    </row>
    <row r="641" spans="1:1" x14ac:dyDescent="0.25">
      <c r="A641" s="1">
        <v>129538</v>
      </c>
    </row>
    <row r="642" spans="1:1" x14ac:dyDescent="0.25">
      <c r="A642" s="1">
        <v>181944</v>
      </c>
    </row>
    <row r="643" spans="1:1" x14ac:dyDescent="0.25">
      <c r="A643" s="1">
        <v>52456</v>
      </c>
    </row>
    <row r="644" spans="1:1" x14ac:dyDescent="0.25">
      <c r="A644" s="1">
        <v>191575</v>
      </c>
    </row>
    <row r="645" spans="1:1" x14ac:dyDescent="0.25">
      <c r="A645" s="1">
        <v>227574</v>
      </c>
    </row>
    <row r="646" spans="1:1" x14ac:dyDescent="0.25">
      <c r="A646" s="1">
        <v>151905</v>
      </c>
    </row>
    <row r="647" spans="1:1" x14ac:dyDescent="0.25">
      <c r="A647" s="1">
        <v>222971</v>
      </c>
    </row>
    <row r="648" spans="1:1" x14ac:dyDescent="0.25">
      <c r="A648" s="1">
        <v>8249</v>
      </c>
    </row>
    <row r="649" spans="1:1" x14ac:dyDescent="0.25">
      <c r="A649" s="1">
        <v>12989</v>
      </c>
    </row>
    <row r="650" spans="1:1" x14ac:dyDescent="0.25">
      <c r="A650" s="1">
        <v>272663</v>
      </c>
    </row>
    <row r="651" spans="1:1" x14ac:dyDescent="0.25">
      <c r="A651" s="1">
        <v>34596</v>
      </c>
    </row>
    <row r="652" spans="1:1" x14ac:dyDescent="0.25">
      <c r="A652" s="1">
        <v>11850</v>
      </c>
    </row>
    <row r="653" spans="1:1" x14ac:dyDescent="0.25">
      <c r="A653" s="1">
        <v>111708</v>
      </c>
    </row>
    <row r="654" spans="1:1" x14ac:dyDescent="0.25">
      <c r="A654" s="1">
        <v>6897</v>
      </c>
    </row>
    <row r="655" spans="1:1" x14ac:dyDescent="0.25">
      <c r="A655" s="1">
        <v>82618</v>
      </c>
    </row>
    <row r="656" spans="1:1" x14ac:dyDescent="0.25">
      <c r="A656" s="1">
        <v>12201</v>
      </c>
    </row>
    <row r="657" spans="1:1" x14ac:dyDescent="0.25">
      <c r="A657" s="1">
        <v>186911</v>
      </c>
    </row>
    <row r="658" spans="1:1" x14ac:dyDescent="0.25">
      <c r="A658" s="1">
        <v>63114</v>
      </c>
    </row>
    <row r="659" spans="1:1" x14ac:dyDescent="0.25">
      <c r="A659" s="1">
        <v>153773</v>
      </c>
    </row>
    <row r="660" spans="1:1" x14ac:dyDescent="0.25">
      <c r="A660" s="1">
        <v>65565</v>
      </c>
    </row>
    <row r="661" spans="1:1" x14ac:dyDescent="0.25">
      <c r="A661" s="1">
        <v>142572</v>
      </c>
    </row>
    <row r="662" spans="1:1" x14ac:dyDescent="0.25">
      <c r="A662" s="1">
        <v>111438</v>
      </c>
    </row>
    <row r="663" spans="1:1" x14ac:dyDescent="0.25">
      <c r="A663" s="1">
        <v>173092</v>
      </c>
    </row>
    <row r="664" spans="1:1" x14ac:dyDescent="0.25">
      <c r="A664" s="1">
        <v>89392</v>
      </c>
    </row>
    <row r="665" spans="1:1" x14ac:dyDescent="0.25">
      <c r="A665" s="1">
        <v>107164</v>
      </c>
    </row>
    <row r="666" spans="1:1" x14ac:dyDescent="0.25">
      <c r="A666" s="1">
        <v>243705</v>
      </c>
    </row>
    <row r="667" spans="1:1" x14ac:dyDescent="0.25">
      <c r="A667" s="1">
        <v>107085</v>
      </c>
    </row>
    <row r="668" spans="1:1" x14ac:dyDescent="0.25">
      <c r="A668" s="1">
        <v>17600</v>
      </c>
    </row>
    <row r="669" spans="1:1" x14ac:dyDescent="0.25">
      <c r="A669" s="1">
        <v>129833</v>
      </c>
    </row>
    <row r="670" spans="1:1" x14ac:dyDescent="0.25">
      <c r="A670" s="1">
        <v>193011</v>
      </c>
    </row>
    <row r="671" spans="1:1" x14ac:dyDescent="0.25">
      <c r="A671" s="1">
        <v>32269</v>
      </c>
    </row>
    <row r="672" spans="1:1" x14ac:dyDescent="0.25">
      <c r="A672" s="1">
        <v>5472</v>
      </c>
    </row>
    <row r="673" spans="1:1" x14ac:dyDescent="0.25">
      <c r="A673" s="1">
        <v>122223</v>
      </c>
    </row>
    <row r="674" spans="1:1" x14ac:dyDescent="0.25">
      <c r="A674" s="1">
        <v>269136</v>
      </c>
    </row>
    <row r="675" spans="1:1" x14ac:dyDescent="0.25">
      <c r="A675" s="1">
        <v>187695</v>
      </c>
    </row>
    <row r="676" spans="1:1" x14ac:dyDescent="0.25">
      <c r="A676" s="1">
        <v>311091</v>
      </c>
    </row>
    <row r="677" spans="1:1" x14ac:dyDescent="0.25">
      <c r="A677" s="1">
        <v>214528</v>
      </c>
    </row>
    <row r="678" spans="1:1" x14ac:dyDescent="0.25">
      <c r="A678" s="1">
        <v>20574</v>
      </c>
    </row>
    <row r="679" spans="1:1" x14ac:dyDescent="0.25">
      <c r="A679" s="1">
        <v>84051</v>
      </c>
    </row>
    <row r="680" spans="1:1" x14ac:dyDescent="0.25">
      <c r="A680" s="1">
        <v>209952</v>
      </c>
    </row>
    <row r="681" spans="1:1" x14ac:dyDescent="0.25">
      <c r="A681" s="1">
        <v>180516</v>
      </c>
    </row>
    <row r="682" spans="1:1" x14ac:dyDescent="0.25">
      <c r="A682" s="1">
        <v>23480</v>
      </c>
    </row>
    <row r="683" spans="1:1" x14ac:dyDescent="0.25">
      <c r="A683" s="1">
        <v>173591</v>
      </c>
    </row>
    <row r="684" spans="1:1" x14ac:dyDescent="0.25">
      <c r="A684" s="1">
        <v>220599</v>
      </c>
    </row>
    <row r="685" spans="1:1" x14ac:dyDescent="0.25">
      <c r="A685" s="1">
        <v>176059</v>
      </c>
    </row>
    <row r="686" spans="1:1" x14ac:dyDescent="0.25">
      <c r="A686" s="1">
        <v>90048</v>
      </c>
    </row>
    <row r="687" spans="1:1" x14ac:dyDescent="0.25">
      <c r="A687" s="1">
        <v>274318</v>
      </c>
    </row>
    <row r="688" spans="1:1" x14ac:dyDescent="0.25">
      <c r="A688" s="1">
        <v>188307</v>
      </c>
    </row>
    <row r="689" spans="1:1" x14ac:dyDescent="0.25">
      <c r="A689" s="1">
        <v>15476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9FE02-2C36-4547-9951-20897C7D6D55}">
  <dimension ref="A1:T78"/>
  <sheetViews>
    <sheetView showGridLines="0" tabSelected="1" zoomScale="30" zoomScaleNormal="30" workbookViewId="0">
      <selection activeCell="W38" sqref="W38"/>
    </sheetView>
  </sheetViews>
  <sheetFormatPr baseColWidth="10" defaultRowHeight="15" x14ac:dyDescent="0.25"/>
  <cols>
    <col min="1" max="1" width="17.5703125" bestFit="1" customWidth="1"/>
    <col min="2" max="2" width="18.85546875" customWidth="1"/>
    <col min="3" max="3" width="17.5703125" bestFit="1" customWidth="1"/>
    <col min="4" max="4" width="14.28515625" bestFit="1" customWidth="1"/>
    <col min="5" max="5" width="20.140625" customWidth="1"/>
    <col min="6" max="6" width="18.85546875" customWidth="1"/>
    <col min="7" max="7" width="26.28515625" customWidth="1"/>
    <col min="8" max="8" width="26.140625" bestFit="1" customWidth="1"/>
    <col min="9" max="9" width="32.42578125" bestFit="1" customWidth="1"/>
    <col min="10" max="10" width="19" customWidth="1"/>
    <col min="11" max="11" width="13.7109375" bestFit="1" customWidth="1"/>
    <col min="12" max="12" width="15.42578125" customWidth="1"/>
    <col min="13" max="13" width="30.140625" customWidth="1"/>
    <col min="14" max="14" width="19.85546875" customWidth="1"/>
    <col min="15" max="15" width="20.5703125" customWidth="1"/>
    <col min="16" max="16" width="19.5703125" customWidth="1"/>
    <col min="18" max="18" width="19.5703125" customWidth="1"/>
    <col min="19" max="19" width="14.140625" bestFit="1" customWidth="1"/>
  </cols>
  <sheetData>
    <row r="1" spans="1:20" ht="15" customHeight="1" x14ac:dyDescent="0.25">
      <c r="A1" s="61" t="s">
        <v>107</v>
      </c>
      <c r="B1" s="61"/>
      <c r="C1" s="61"/>
      <c r="D1" s="61"/>
      <c r="E1" s="61"/>
      <c r="F1" s="61"/>
      <c r="G1" s="61"/>
      <c r="H1" s="61"/>
      <c r="I1" s="61"/>
      <c r="J1" s="61"/>
      <c r="K1" s="61"/>
      <c r="L1" s="61"/>
      <c r="M1" s="61"/>
      <c r="N1" s="61"/>
      <c r="O1" s="61"/>
      <c r="P1" s="61"/>
      <c r="Q1" s="61"/>
    </row>
    <row r="2" spans="1:20" ht="15" customHeight="1" x14ac:dyDescent="0.25">
      <c r="A2" s="61"/>
      <c r="B2" s="61"/>
      <c r="C2" s="61"/>
      <c r="D2" s="61"/>
      <c r="E2" s="61"/>
      <c r="F2" s="61"/>
      <c r="G2" s="61"/>
      <c r="H2" s="61"/>
      <c r="I2" s="61"/>
      <c r="J2" s="61"/>
      <c r="K2" s="61"/>
      <c r="L2" s="61"/>
      <c r="M2" s="61"/>
      <c r="N2" s="61"/>
      <c r="O2" s="61"/>
      <c r="P2" s="61"/>
      <c r="Q2" s="61"/>
    </row>
    <row r="3" spans="1:20" ht="18.75" x14ac:dyDescent="0.3">
      <c r="A3" s="60" t="s">
        <v>108</v>
      </c>
      <c r="B3" s="60"/>
      <c r="C3" s="60"/>
      <c r="D3" s="60"/>
      <c r="E3" s="60"/>
      <c r="F3" s="60"/>
      <c r="G3" s="60"/>
      <c r="H3" s="60"/>
      <c r="I3" s="60"/>
      <c r="J3" s="60"/>
      <c r="K3" s="60"/>
      <c r="L3" s="60"/>
      <c r="M3" s="60"/>
      <c r="N3" s="60"/>
      <c r="O3" s="60"/>
      <c r="P3" s="60"/>
      <c r="Q3" s="60"/>
    </row>
    <row r="4" spans="1:20" x14ac:dyDescent="0.25">
      <c r="A4" s="63"/>
      <c r="B4" s="63"/>
      <c r="C4" s="63"/>
      <c r="D4" s="63"/>
      <c r="E4" s="63"/>
      <c r="F4" s="63"/>
      <c r="G4" s="63"/>
      <c r="H4" s="63"/>
      <c r="I4" s="63"/>
      <c r="J4" s="63"/>
      <c r="K4" s="63"/>
      <c r="L4" s="63"/>
      <c r="M4" s="63"/>
      <c r="N4" s="63"/>
      <c r="O4" s="63"/>
      <c r="P4" s="63"/>
      <c r="Q4" s="63"/>
    </row>
    <row r="5" spans="1:20" x14ac:dyDescent="0.25">
      <c r="A5" s="63"/>
      <c r="B5" s="63"/>
      <c r="C5" s="63"/>
      <c r="D5" s="63"/>
      <c r="E5" s="63"/>
      <c r="F5" s="63"/>
      <c r="G5" s="63"/>
      <c r="H5" s="63"/>
      <c r="I5" s="63"/>
      <c r="J5" s="63"/>
      <c r="K5" s="63"/>
      <c r="L5" s="63"/>
      <c r="M5" s="63"/>
      <c r="N5" s="63"/>
      <c r="O5" s="63"/>
      <c r="P5" s="64"/>
      <c r="Q5" s="63"/>
      <c r="R5" s="46"/>
      <c r="S5" s="47"/>
      <c r="T5" s="48"/>
    </row>
    <row r="6" spans="1:20" x14ac:dyDescent="0.25">
      <c r="A6" s="63"/>
      <c r="B6" s="63"/>
      <c r="C6" s="63"/>
      <c r="D6" s="63"/>
      <c r="E6" s="63"/>
      <c r="F6" s="63"/>
      <c r="G6" s="63"/>
      <c r="H6" s="63"/>
      <c r="I6" s="63"/>
      <c r="J6" s="63"/>
      <c r="K6" s="63"/>
      <c r="L6" s="63"/>
      <c r="M6" s="63"/>
      <c r="N6" s="63"/>
      <c r="O6" s="63"/>
      <c r="P6" s="65"/>
      <c r="Q6" s="63"/>
      <c r="R6" s="49"/>
      <c r="S6" s="50"/>
      <c r="T6" s="51"/>
    </row>
    <row r="7" spans="1:20" x14ac:dyDescent="0.25">
      <c r="A7" s="63"/>
      <c r="B7" s="63"/>
      <c r="C7" s="63"/>
      <c r="D7" s="63"/>
      <c r="E7" s="63"/>
      <c r="F7" s="63"/>
      <c r="G7" s="63"/>
      <c r="H7" s="63"/>
      <c r="I7" s="63"/>
      <c r="J7" s="63"/>
      <c r="K7" s="63"/>
      <c r="L7" s="63"/>
      <c r="M7" s="63"/>
      <c r="N7" s="63"/>
      <c r="O7" s="66"/>
      <c r="P7" s="64"/>
      <c r="Q7" s="63"/>
      <c r="R7" s="49"/>
      <c r="S7" s="50"/>
      <c r="T7" s="51"/>
    </row>
    <row r="8" spans="1:20" x14ac:dyDescent="0.25">
      <c r="A8" s="63"/>
      <c r="B8" s="63"/>
      <c r="C8" s="63"/>
      <c r="D8" s="63"/>
      <c r="E8" s="63"/>
      <c r="F8" s="63"/>
      <c r="G8" s="63"/>
      <c r="H8" s="63"/>
      <c r="I8" s="63"/>
      <c r="J8" s="63"/>
      <c r="K8" s="63"/>
      <c r="L8" s="63"/>
      <c r="M8" s="63"/>
      <c r="N8" s="63"/>
      <c r="O8" s="67"/>
      <c r="P8" s="63"/>
      <c r="Q8" s="63"/>
      <c r="R8" s="49"/>
      <c r="S8" s="50"/>
      <c r="T8" s="51"/>
    </row>
    <row r="9" spans="1:20" x14ac:dyDescent="0.25">
      <c r="A9" s="63"/>
      <c r="B9" s="63"/>
      <c r="C9" s="63"/>
      <c r="D9" s="63"/>
      <c r="E9" s="63"/>
      <c r="F9" s="63"/>
      <c r="G9" s="63"/>
      <c r="H9" s="63"/>
      <c r="I9" s="63"/>
      <c r="J9" s="63"/>
      <c r="K9" s="63"/>
      <c r="L9" s="63"/>
      <c r="M9" s="63"/>
      <c r="N9" s="63"/>
      <c r="O9" s="67"/>
      <c r="P9" s="63"/>
      <c r="Q9" s="63"/>
      <c r="R9" s="49"/>
      <c r="S9" s="50"/>
      <c r="T9" s="51"/>
    </row>
    <row r="10" spans="1:20" x14ac:dyDescent="0.25">
      <c r="A10" s="63"/>
      <c r="B10" s="63"/>
      <c r="C10" s="63"/>
      <c r="D10" s="63"/>
      <c r="E10" s="68"/>
      <c r="F10" s="63"/>
      <c r="G10" s="63"/>
      <c r="H10" s="63"/>
      <c r="I10" s="63"/>
      <c r="J10" s="63"/>
      <c r="K10" s="63"/>
      <c r="L10" s="63"/>
      <c r="M10" s="63"/>
      <c r="N10" s="63"/>
      <c r="O10" s="63"/>
      <c r="P10" s="65"/>
      <c r="Q10" s="63"/>
      <c r="R10" s="49"/>
      <c r="S10" s="50"/>
      <c r="T10" s="51"/>
    </row>
    <row r="11" spans="1:20" x14ac:dyDescent="0.25">
      <c r="A11" s="63"/>
      <c r="B11" s="63"/>
      <c r="C11" s="63"/>
      <c r="D11" s="63"/>
      <c r="E11" s="68"/>
      <c r="F11" s="63"/>
      <c r="G11" s="63"/>
      <c r="H11" s="63"/>
      <c r="I11" s="63"/>
      <c r="J11" s="63"/>
      <c r="K11" s="63"/>
      <c r="L11" s="63"/>
      <c r="M11" s="63"/>
      <c r="N11" s="63"/>
      <c r="O11" s="63"/>
      <c r="P11" s="63"/>
      <c r="Q11" s="63"/>
      <c r="R11" s="49"/>
      <c r="S11" s="50"/>
      <c r="T11" s="51"/>
    </row>
    <row r="12" spans="1:20" x14ac:dyDescent="0.25">
      <c r="A12" s="63"/>
      <c r="B12" s="63"/>
      <c r="C12" s="63"/>
      <c r="D12" s="63"/>
      <c r="E12" s="63"/>
      <c r="F12" s="63"/>
      <c r="G12" s="63"/>
      <c r="H12" s="63"/>
      <c r="I12" s="63"/>
      <c r="J12" s="63"/>
      <c r="K12" s="63"/>
      <c r="L12" s="63"/>
      <c r="M12" s="63"/>
      <c r="N12" s="63"/>
      <c r="O12" s="63"/>
      <c r="P12" s="63"/>
      <c r="Q12" s="63"/>
      <c r="R12" s="49"/>
      <c r="S12" s="50"/>
      <c r="T12" s="51"/>
    </row>
    <row r="13" spans="1:20" x14ac:dyDescent="0.25">
      <c r="A13" s="63"/>
      <c r="B13" s="63"/>
      <c r="C13" s="63"/>
      <c r="D13" s="63"/>
      <c r="E13" s="63"/>
      <c r="F13" s="63"/>
      <c r="G13" s="63"/>
      <c r="H13" s="63"/>
      <c r="I13" s="63"/>
      <c r="J13" s="63"/>
      <c r="K13" s="63"/>
      <c r="L13" s="63"/>
      <c r="M13" s="63"/>
      <c r="N13" s="63"/>
      <c r="O13" s="63"/>
      <c r="P13" s="63"/>
      <c r="Q13" s="63"/>
      <c r="R13" s="49"/>
      <c r="S13" s="50"/>
      <c r="T13" s="51"/>
    </row>
    <row r="14" spans="1:20" x14ac:dyDescent="0.25">
      <c r="A14" s="63"/>
      <c r="B14" s="63"/>
      <c r="C14" s="63"/>
      <c r="D14" s="63"/>
      <c r="E14" s="63"/>
      <c r="F14" s="63"/>
      <c r="G14" s="63"/>
      <c r="H14" s="63"/>
      <c r="I14" s="63"/>
      <c r="J14" s="63"/>
      <c r="K14" s="63"/>
      <c r="L14" s="63"/>
      <c r="M14" s="63"/>
      <c r="N14" s="63"/>
      <c r="O14" s="63"/>
      <c r="P14" s="63"/>
      <c r="Q14" s="63"/>
      <c r="R14" s="49"/>
      <c r="S14" s="50"/>
      <c r="T14" s="51"/>
    </row>
    <row r="15" spans="1:20" x14ac:dyDescent="0.25">
      <c r="A15" s="63"/>
      <c r="B15" s="69" t="str">
        <f>D53</f>
        <v>Ventas Totales</v>
      </c>
      <c r="C15" s="70"/>
      <c r="D15" s="69" t="str">
        <f>D54</f>
        <v>Crecimiento YoY</v>
      </c>
      <c r="E15" s="70"/>
      <c r="F15" s="71" t="str">
        <f>D55</f>
        <v>Precio Promedio</v>
      </c>
      <c r="G15" s="72"/>
      <c r="H15" s="63"/>
      <c r="I15" s="63"/>
      <c r="J15" s="63"/>
      <c r="K15" s="63"/>
      <c r="L15" s="63"/>
      <c r="M15" s="63"/>
      <c r="N15" s="63"/>
      <c r="O15" s="63"/>
      <c r="P15" s="63"/>
      <c r="Q15" s="63"/>
      <c r="R15" s="49"/>
      <c r="S15" s="50"/>
      <c r="T15" s="51"/>
    </row>
    <row r="16" spans="1:20" x14ac:dyDescent="0.25">
      <c r="A16" s="73" t="s">
        <v>109</v>
      </c>
      <c r="B16" s="74">
        <f>E53</f>
        <v>73728611</v>
      </c>
      <c r="C16" s="75"/>
      <c r="D16" s="74">
        <f>GETPIVOTDATA("[Measures].[Crecimiento YoY]",$D$28)</f>
        <v>1.8810875061726891</v>
      </c>
      <c r="E16" s="75"/>
      <c r="F16" s="76">
        <f>E55</f>
        <v>235.535102515446</v>
      </c>
      <c r="G16" s="77"/>
      <c r="H16" s="63"/>
      <c r="I16" s="63"/>
      <c r="J16" s="63"/>
      <c r="K16" s="63"/>
      <c r="L16" s="63"/>
      <c r="M16" s="63"/>
      <c r="N16" s="63"/>
      <c r="O16" s="63"/>
      <c r="P16" s="63"/>
      <c r="Q16" s="63"/>
      <c r="R16" s="49"/>
      <c r="S16" s="50"/>
      <c r="T16" s="51"/>
    </row>
    <row r="17" spans="1:20" x14ac:dyDescent="0.25">
      <c r="A17" s="78" t="s">
        <v>105</v>
      </c>
      <c r="B17" s="79">
        <f>F53</f>
        <v>75000000</v>
      </c>
      <c r="C17" s="80"/>
      <c r="D17" s="81" t="str">
        <f>IF(F54&gt;=E54,"Sobre la meta","Bajo la meta")</f>
        <v>Bajo la meta</v>
      </c>
      <c r="E17" s="82"/>
      <c r="F17" s="83" t="str">
        <f>IF(F55&gt;=E55,"Sobre la meta","Bajo la meta")</f>
        <v>Bajo la meta</v>
      </c>
      <c r="G17" s="82"/>
      <c r="H17" s="63"/>
      <c r="I17" s="63"/>
      <c r="J17" s="63"/>
      <c r="K17" s="63"/>
      <c r="L17" s="63"/>
      <c r="M17" s="63"/>
      <c r="N17" s="63"/>
      <c r="O17" s="63"/>
      <c r="P17" s="63"/>
      <c r="Q17" s="63"/>
      <c r="R17" s="49"/>
      <c r="S17" s="50"/>
      <c r="T17" s="51"/>
    </row>
    <row r="18" spans="1:20" x14ac:dyDescent="0.25">
      <c r="A18" s="63"/>
      <c r="B18" s="84"/>
      <c r="C18" s="84"/>
      <c r="D18" s="84"/>
      <c r="E18" s="84"/>
      <c r="F18" s="63"/>
      <c r="G18" s="63"/>
      <c r="H18" s="63"/>
      <c r="I18" s="63"/>
      <c r="J18" s="63"/>
      <c r="K18" s="63"/>
      <c r="L18" s="63"/>
      <c r="M18" s="63"/>
      <c r="N18" s="63"/>
      <c r="O18" s="63"/>
      <c r="P18" s="63"/>
      <c r="Q18" s="63"/>
      <c r="R18" s="49"/>
      <c r="S18" s="50"/>
      <c r="T18" s="51"/>
    </row>
    <row r="19" spans="1:20" x14ac:dyDescent="0.25">
      <c r="A19" s="63"/>
      <c r="B19" s="84"/>
      <c r="C19" s="84"/>
      <c r="D19" s="84"/>
      <c r="E19" s="84"/>
      <c r="F19" s="63"/>
      <c r="G19" s="63"/>
      <c r="H19" s="63"/>
      <c r="I19" s="63"/>
      <c r="J19" s="63"/>
      <c r="K19" s="63"/>
      <c r="L19" s="63"/>
      <c r="M19" s="63"/>
      <c r="N19" s="63"/>
      <c r="O19" s="63"/>
      <c r="P19" s="63"/>
      <c r="Q19" s="63"/>
      <c r="R19" s="49"/>
      <c r="S19" s="50"/>
      <c r="T19" s="51"/>
    </row>
    <row r="20" spans="1:20" x14ac:dyDescent="0.25">
      <c r="A20" s="63" t="s">
        <v>28</v>
      </c>
      <c r="B20" s="63" t="s">
        <v>74</v>
      </c>
      <c r="C20" s="63"/>
      <c r="D20" s="63" t="s">
        <v>28</v>
      </c>
      <c r="E20" s="63" t="s">
        <v>74</v>
      </c>
      <c r="F20" s="63"/>
      <c r="G20" s="63"/>
      <c r="H20" s="63"/>
      <c r="I20" s="63"/>
      <c r="J20" s="63"/>
      <c r="K20" s="63"/>
      <c r="L20" s="63"/>
      <c r="M20" s="63"/>
      <c r="N20" s="63"/>
      <c r="O20" s="63"/>
      <c r="P20" s="63"/>
      <c r="Q20" s="63"/>
      <c r="R20" s="49"/>
      <c r="S20" s="50"/>
      <c r="T20" s="51"/>
    </row>
    <row r="21" spans="1:20" x14ac:dyDescent="0.25">
      <c r="A21" s="85">
        <v>1</v>
      </c>
      <c r="B21" s="86"/>
      <c r="C21" s="63"/>
      <c r="D21" s="85" t="s">
        <v>4</v>
      </c>
      <c r="E21" s="68">
        <v>4951380</v>
      </c>
      <c r="F21" s="63"/>
      <c r="G21" s="63"/>
      <c r="H21" s="63"/>
      <c r="I21" s="63"/>
      <c r="J21" s="63"/>
      <c r="K21" s="63"/>
      <c r="L21" s="63"/>
      <c r="M21" s="63"/>
      <c r="N21" s="63"/>
      <c r="O21" s="63"/>
      <c r="P21" s="63"/>
      <c r="Q21" s="63"/>
      <c r="R21" s="49"/>
      <c r="S21" s="50"/>
      <c r="T21" s="51"/>
    </row>
    <row r="22" spans="1:20" x14ac:dyDescent="0.25">
      <c r="A22" s="87" t="s">
        <v>78</v>
      </c>
      <c r="B22" s="68">
        <v>7169028</v>
      </c>
      <c r="C22" s="63"/>
      <c r="D22" s="85" t="s">
        <v>0</v>
      </c>
      <c r="E22" s="68">
        <v>21363858</v>
      </c>
      <c r="F22" s="63"/>
      <c r="G22" s="63"/>
      <c r="H22" s="63"/>
      <c r="I22" s="63"/>
      <c r="J22" s="63"/>
      <c r="K22" s="63"/>
      <c r="L22" s="63"/>
      <c r="M22" s="63"/>
      <c r="N22" s="63"/>
      <c r="O22" s="63"/>
      <c r="P22" s="63"/>
      <c r="Q22" s="63"/>
      <c r="R22" s="52"/>
      <c r="S22" s="53"/>
      <c r="T22" s="54"/>
    </row>
    <row r="23" spans="1:20" x14ac:dyDescent="0.25">
      <c r="A23" s="85">
        <v>2</v>
      </c>
      <c r="B23" s="86"/>
      <c r="C23" s="63"/>
      <c r="D23" s="85" t="s">
        <v>2</v>
      </c>
      <c r="E23" s="68">
        <v>17784747</v>
      </c>
      <c r="F23" s="63"/>
      <c r="G23" s="63"/>
      <c r="H23" s="63"/>
      <c r="I23" s="63"/>
      <c r="J23" s="63"/>
      <c r="K23" s="63"/>
      <c r="L23" s="63"/>
      <c r="M23" s="63"/>
      <c r="N23" s="63"/>
      <c r="O23" s="63"/>
      <c r="P23" s="63"/>
      <c r="Q23" s="63"/>
    </row>
    <row r="24" spans="1:20" x14ac:dyDescent="0.25">
      <c r="A24" s="87" t="s">
        <v>79</v>
      </c>
      <c r="B24" s="68">
        <v>8304811</v>
      </c>
      <c r="C24" s="63"/>
      <c r="D24" s="85" t="s">
        <v>5</v>
      </c>
      <c r="E24" s="68">
        <v>7204994</v>
      </c>
      <c r="F24" s="63"/>
      <c r="G24" s="63"/>
      <c r="H24" s="63"/>
      <c r="I24" s="63"/>
      <c r="J24" s="63"/>
      <c r="K24" s="63"/>
      <c r="L24" s="63"/>
      <c r="M24" s="63"/>
      <c r="N24" s="63"/>
      <c r="O24" s="63"/>
      <c r="P24" s="63"/>
      <c r="Q24" s="63"/>
    </row>
    <row r="25" spans="1:20" x14ac:dyDescent="0.25">
      <c r="A25" s="85">
        <v>3</v>
      </c>
      <c r="B25" s="86"/>
      <c r="C25" s="63"/>
      <c r="D25" s="85" t="s">
        <v>6</v>
      </c>
      <c r="E25" s="68">
        <v>22423632</v>
      </c>
      <c r="F25" s="63"/>
      <c r="G25" s="63"/>
      <c r="H25" s="63"/>
      <c r="I25" s="63"/>
      <c r="J25" s="63"/>
      <c r="K25" s="63"/>
      <c r="L25" s="63"/>
      <c r="M25" s="63"/>
      <c r="N25" s="63"/>
      <c r="O25" s="63"/>
      <c r="P25" s="63"/>
      <c r="Q25" s="63"/>
    </row>
    <row r="26" spans="1:20" x14ac:dyDescent="0.25">
      <c r="A26" s="87" t="s">
        <v>82</v>
      </c>
      <c r="B26" s="68">
        <v>6387327</v>
      </c>
      <c r="C26" s="63"/>
      <c r="D26" s="85" t="s">
        <v>29</v>
      </c>
      <c r="E26" s="68">
        <v>73728611</v>
      </c>
      <c r="F26" s="63"/>
      <c r="G26" s="63"/>
      <c r="H26" s="63"/>
      <c r="I26" s="63"/>
      <c r="J26" s="63"/>
      <c r="K26" s="63"/>
      <c r="L26" s="63"/>
      <c r="M26" s="63"/>
      <c r="N26" s="63"/>
      <c r="O26" s="63"/>
      <c r="P26" s="63"/>
      <c r="Q26" s="63"/>
    </row>
    <row r="27" spans="1:20" x14ac:dyDescent="0.25">
      <c r="A27" s="85">
        <v>4</v>
      </c>
      <c r="B27" s="86"/>
      <c r="C27" s="63"/>
      <c r="D27" s="63"/>
      <c r="E27" s="63"/>
      <c r="F27" s="63"/>
      <c r="G27" s="63"/>
      <c r="H27" s="63"/>
      <c r="I27" s="63"/>
      <c r="J27" s="63"/>
      <c r="K27" s="63"/>
      <c r="L27" s="63"/>
      <c r="M27" s="63"/>
      <c r="N27" s="63"/>
      <c r="O27" s="63"/>
      <c r="P27" s="63"/>
      <c r="Q27" s="63"/>
    </row>
    <row r="28" spans="1:20" x14ac:dyDescent="0.25">
      <c r="A28" s="87" t="s">
        <v>75</v>
      </c>
      <c r="B28" s="68">
        <v>10037618</v>
      </c>
      <c r="C28" s="63"/>
      <c r="D28" s="63" t="s">
        <v>28</v>
      </c>
      <c r="E28" s="63" t="s">
        <v>74</v>
      </c>
      <c r="F28" s="63" t="s">
        <v>101</v>
      </c>
      <c r="G28" s="63" t="s">
        <v>102</v>
      </c>
      <c r="H28" s="63"/>
      <c r="I28" s="63"/>
      <c r="J28" s="63"/>
      <c r="K28" s="63"/>
      <c r="L28" s="63"/>
      <c r="M28" s="63"/>
      <c r="N28" s="63"/>
      <c r="O28" s="63"/>
      <c r="P28" s="63"/>
      <c r="Q28" s="63"/>
    </row>
    <row r="29" spans="1:20" x14ac:dyDescent="0.25">
      <c r="A29" s="85">
        <v>5</v>
      </c>
      <c r="B29" s="86"/>
      <c r="C29" s="63"/>
      <c r="D29" s="85" t="s">
        <v>8</v>
      </c>
      <c r="E29" s="68">
        <v>11052301</v>
      </c>
      <c r="F29" s="88">
        <v>1.8162014828736703</v>
      </c>
      <c r="G29" s="68">
        <v>207.20085862657243</v>
      </c>
      <c r="H29" s="63"/>
      <c r="I29" s="63"/>
      <c r="J29" s="63"/>
      <c r="K29" s="63"/>
      <c r="L29" s="63"/>
      <c r="M29" s="63"/>
      <c r="N29" s="63"/>
      <c r="O29" s="63"/>
      <c r="P29" s="63"/>
      <c r="Q29" s="63"/>
    </row>
    <row r="30" spans="1:20" x14ac:dyDescent="0.25">
      <c r="A30" s="87" t="s">
        <v>83</v>
      </c>
      <c r="B30" s="68">
        <v>7091365</v>
      </c>
      <c r="C30" s="63"/>
      <c r="D30" s="85" t="s">
        <v>3</v>
      </c>
      <c r="E30" s="68">
        <v>6778211</v>
      </c>
      <c r="F30" s="88">
        <v>1.481828440619581</v>
      </c>
      <c r="G30" s="68">
        <v>245.81000906618314</v>
      </c>
      <c r="H30" s="63"/>
      <c r="I30" s="63"/>
      <c r="J30" s="63"/>
      <c r="K30" s="63"/>
      <c r="L30" s="63"/>
      <c r="M30" s="63"/>
      <c r="N30" s="63"/>
      <c r="O30" s="63"/>
      <c r="P30" s="63"/>
      <c r="Q30" s="63"/>
    </row>
    <row r="31" spans="1:20" x14ac:dyDescent="0.25">
      <c r="A31" s="85">
        <v>6</v>
      </c>
      <c r="B31" s="86"/>
      <c r="C31" s="63"/>
      <c r="D31" s="85" t="s">
        <v>9</v>
      </c>
      <c r="E31" s="68">
        <v>19698270</v>
      </c>
      <c r="F31" s="88">
        <v>1.8513781834199365</v>
      </c>
      <c r="G31" s="68">
        <v>249.31994228432563</v>
      </c>
      <c r="H31" s="63"/>
      <c r="I31" s="63"/>
      <c r="J31" s="63"/>
      <c r="K31" s="63"/>
      <c r="L31" s="63"/>
      <c r="M31" s="63"/>
      <c r="N31" s="63"/>
      <c r="O31" s="63"/>
      <c r="P31" s="63"/>
      <c r="Q31" s="63"/>
    </row>
    <row r="32" spans="1:20" x14ac:dyDescent="0.25">
      <c r="A32" s="87" t="s">
        <v>81</v>
      </c>
      <c r="B32" s="68">
        <v>7462323</v>
      </c>
      <c r="C32" s="63"/>
      <c r="D32" s="85" t="s">
        <v>1</v>
      </c>
      <c r="E32" s="68">
        <v>18054865</v>
      </c>
      <c r="F32" s="88">
        <v>1.9928198308990279</v>
      </c>
      <c r="G32" s="68">
        <v>252.64279917161087</v>
      </c>
      <c r="H32" s="63"/>
      <c r="I32" s="63"/>
      <c r="J32" s="63"/>
      <c r="K32" s="63"/>
      <c r="L32" s="63"/>
      <c r="M32" s="63"/>
      <c r="N32" s="63"/>
      <c r="O32" s="63"/>
      <c r="P32" s="63"/>
      <c r="Q32" s="63"/>
    </row>
    <row r="33" spans="1:17" x14ac:dyDescent="0.25">
      <c r="A33" s="85">
        <v>7</v>
      </c>
      <c r="B33" s="86"/>
      <c r="C33" s="63"/>
      <c r="D33" s="85" t="s">
        <v>7</v>
      </c>
      <c r="E33" s="68">
        <v>18144964</v>
      </c>
      <c r="F33" s="88">
        <v>2.0272833094003131</v>
      </c>
      <c r="G33" s="68">
        <v>222.26125088806683</v>
      </c>
      <c r="H33" s="63"/>
      <c r="I33" s="63"/>
      <c r="J33" s="63"/>
      <c r="K33" s="63"/>
      <c r="L33" s="63"/>
      <c r="M33" s="63"/>
      <c r="N33" s="63"/>
      <c r="O33" s="63"/>
      <c r="P33" s="63"/>
      <c r="Q33" s="63"/>
    </row>
    <row r="34" spans="1:17" x14ac:dyDescent="0.25">
      <c r="A34" s="87" t="s">
        <v>80</v>
      </c>
      <c r="B34" s="68">
        <v>3320682</v>
      </c>
      <c r="C34" s="63"/>
      <c r="D34" s="85" t="s">
        <v>29</v>
      </c>
      <c r="E34" s="68">
        <v>73728611</v>
      </c>
      <c r="F34" s="88">
        <v>1.8810875061726891</v>
      </c>
      <c r="G34" s="68">
        <v>235.535102515446</v>
      </c>
      <c r="H34" s="63"/>
      <c r="I34" s="63"/>
      <c r="J34" s="63"/>
      <c r="K34" s="63"/>
      <c r="L34" s="63"/>
      <c r="M34" s="63"/>
      <c r="N34" s="63"/>
      <c r="O34" s="63"/>
      <c r="P34" s="63"/>
      <c r="Q34" s="63"/>
    </row>
    <row r="35" spans="1:17" x14ac:dyDescent="0.25">
      <c r="A35" s="85">
        <v>8</v>
      </c>
      <c r="B35" s="86"/>
      <c r="C35" s="63"/>
      <c r="D35" s="63"/>
      <c r="E35" s="63"/>
      <c r="F35" s="63"/>
      <c r="G35" s="63"/>
      <c r="H35" s="63"/>
      <c r="I35" s="63"/>
      <c r="J35" s="63"/>
      <c r="K35" s="63"/>
      <c r="L35" s="63"/>
      <c r="M35" s="63"/>
      <c r="N35" s="63"/>
      <c r="O35" s="63"/>
      <c r="P35" s="63"/>
      <c r="Q35" s="63"/>
    </row>
    <row r="36" spans="1:17" x14ac:dyDescent="0.25">
      <c r="A36" s="87" t="s">
        <v>76</v>
      </c>
      <c r="B36" s="68">
        <v>3992050</v>
      </c>
      <c r="C36" s="63"/>
      <c r="D36" s="63" t="s">
        <v>28</v>
      </c>
      <c r="E36" s="63" t="s">
        <v>74</v>
      </c>
      <c r="F36" s="63" t="s">
        <v>95</v>
      </c>
      <c r="G36" s="63"/>
      <c r="H36" s="63"/>
      <c r="I36" s="63"/>
      <c r="J36" s="63"/>
      <c r="K36" s="63"/>
      <c r="L36" s="63"/>
      <c r="M36" s="63"/>
      <c r="N36" s="63"/>
      <c r="O36" s="63"/>
      <c r="P36" s="63"/>
      <c r="Q36" s="63"/>
    </row>
    <row r="37" spans="1:17" x14ac:dyDescent="0.25">
      <c r="A37" s="85">
        <v>9</v>
      </c>
      <c r="B37" s="86"/>
      <c r="C37" s="63"/>
      <c r="D37" s="85" t="s">
        <v>94</v>
      </c>
      <c r="E37" s="68">
        <v>11052301</v>
      </c>
      <c r="F37" s="68">
        <v>53341</v>
      </c>
      <c r="G37" s="63"/>
      <c r="H37" s="63"/>
      <c r="I37" s="63"/>
      <c r="J37" s="63"/>
      <c r="K37" s="63"/>
      <c r="L37" s="63"/>
      <c r="M37" s="63"/>
      <c r="N37" s="63"/>
      <c r="O37" s="63"/>
      <c r="P37" s="63"/>
      <c r="Q37" s="63"/>
    </row>
    <row r="38" spans="1:17" x14ac:dyDescent="0.25">
      <c r="A38" s="87" t="s">
        <v>86</v>
      </c>
      <c r="B38" s="68">
        <v>4498986</v>
      </c>
      <c r="C38" s="63"/>
      <c r="D38" s="85" t="s">
        <v>90</v>
      </c>
      <c r="E38" s="68">
        <v>6778211</v>
      </c>
      <c r="F38" s="68">
        <v>27575</v>
      </c>
      <c r="G38" s="63"/>
      <c r="H38" s="63"/>
      <c r="I38" s="63"/>
      <c r="J38" s="63"/>
      <c r="K38" s="63"/>
      <c r="L38" s="63"/>
      <c r="M38" s="63"/>
      <c r="N38" s="63"/>
      <c r="O38" s="63"/>
      <c r="P38" s="63"/>
      <c r="Q38" s="63"/>
    </row>
    <row r="39" spans="1:17" x14ac:dyDescent="0.25">
      <c r="A39" s="85">
        <v>10</v>
      </c>
      <c r="B39" s="86"/>
      <c r="C39" s="63"/>
      <c r="D39" s="85" t="s">
        <v>92</v>
      </c>
      <c r="E39" s="68">
        <v>12536565</v>
      </c>
      <c r="F39" s="68">
        <v>51020</v>
      </c>
      <c r="G39" s="63"/>
      <c r="H39" s="63"/>
      <c r="I39" s="63"/>
      <c r="J39" s="63"/>
      <c r="K39" s="63"/>
      <c r="L39" s="63"/>
      <c r="M39" s="63"/>
      <c r="N39" s="63"/>
      <c r="O39" s="63"/>
      <c r="P39" s="63"/>
      <c r="Q39" s="63"/>
    </row>
    <row r="40" spans="1:17" x14ac:dyDescent="0.25">
      <c r="A40" s="87" t="s">
        <v>85</v>
      </c>
      <c r="B40" s="68">
        <v>5670192</v>
      </c>
      <c r="C40" s="63"/>
      <c r="D40" s="85" t="s">
        <v>91</v>
      </c>
      <c r="E40" s="68">
        <v>11400097</v>
      </c>
      <c r="F40" s="68">
        <v>41896</v>
      </c>
      <c r="G40" s="63"/>
      <c r="H40" s="63"/>
      <c r="I40" s="63"/>
      <c r="J40" s="63"/>
      <c r="K40" s="63"/>
      <c r="L40" s="63"/>
      <c r="M40" s="63"/>
      <c r="N40" s="63"/>
      <c r="O40" s="63"/>
      <c r="P40" s="63"/>
      <c r="Q40" s="63"/>
    </row>
    <row r="41" spans="1:17" x14ac:dyDescent="0.25">
      <c r="A41" s="85">
        <v>11</v>
      </c>
      <c r="B41" s="86"/>
      <c r="C41" s="63"/>
      <c r="D41" s="85" t="s">
        <v>93</v>
      </c>
      <c r="E41" s="68">
        <v>6654768</v>
      </c>
      <c r="F41" s="68">
        <v>29568</v>
      </c>
      <c r="G41" s="63"/>
      <c r="H41" s="63"/>
      <c r="I41" s="63"/>
      <c r="J41" s="63"/>
      <c r="K41" s="63"/>
      <c r="L41" s="63"/>
      <c r="M41" s="63"/>
      <c r="N41" s="63"/>
      <c r="O41" s="63"/>
      <c r="P41" s="63"/>
      <c r="Q41" s="63"/>
    </row>
    <row r="42" spans="1:17" x14ac:dyDescent="0.25">
      <c r="A42" s="87" t="s">
        <v>84</v>
      </c>
      <c r="B42" s="68">
        <v>5199291</v>
      </c>
      <c r="C42" s="63"/>
      <c r="D42" s="85" t="s">
        <v>87</v>
      </c>
      <c r="E42" s="68">
        <v>8315379</v>
      </c>
      <c r="F42" s="68">
        <v>37133</v>
      </c>
      <c r="G42" s="63"/>
      <c r="H42" s="63"/>
      <c r="I42" s="63"/>
      <c r="J42" s="63"/>
      <c r="K42" s="63"/>
      <c r="L42" s="63"/>
      <c r="M42" s="63"/>
      <c r="N42" s="63"/>
      <c r="O42" s="63"/>
      <c r="P42" s="63"/>
      <c r="Q42" s="63"/>
    </row>
    <row r="43" spans="1:17" x14ac:dyDescent="0.25">
      <c r="A43" s="85">
        <v>12</v>
      </c>
      <c r="B43" s="86"/>
      <c r="C43" s="63"/>
      <c r="D43" s="85" t="s">
        <v>88</v>
      </c>
      <c r="E43" s="68">
        <v>9829585</v>
      </c>
      <c r="F43" s="68">
        <v>44505</v>
      </c>
      <c r="G43" s="63"/>
      <c r="H43" s="63"/>
      <c r="I43" s="63"/>
      <c r="J43" s="63"/>
      <c r="K43" s="63"/>
      <c r="L43" s="63"/>
      <c r="M43" s="63"/>
      <c r="N43" s="63"/>
      <c r="O43" s="63"/>
      <c r="P43" s="63"/>
      <c r="Q43" s="63"/>
    </row>
    <row r="44" spans="1:17" x14ac:dyDescent="0.25">
      <c r="A44" s="87" t="s">
        <v>77</v>
      </c>
      <c r="B44" s="68">
        <v>4594938</v>
      </c>
      <c r="C44" s="63"/>
      <c r="D44" s="85" t="s">
        <v>89</v>
      </c>
      <c r="E44" s="68">
        <v>7161705</v>
      </c>
      <c r="F44" s="68">
        <v>27988</v>
      </c>
      <c r="G44" s="63"/>
      <c r="H44" s="63"/>
      <c r="I44" s="63"/>
      <c r="J44" s="63"/>
      <c r="K44" s="63"/>
      <c r="L44" s="63"/>
      <c r="M44" s="63"/>
      <c r="N44" s="63"/>
      <c r="O44" s="63"/>
      <c r="P44" s="63"/>
      <c r="Q44" s="63"/>
    </row>
    <row r="45" spans="1:17" x14ac:dyDescent="0.25">
      <c r="A45" s="85" t="s">
        <v>29</v>
      </c>
      <c r="B45" s="68">
        <v>73728611</v>
      </c>
      <c r="C45" s="63"/>
      <c r="D45" s="85" t="s">
        <v>29</v>
      </c>
      <c r="E45" s="68">
        <v>73728611</v>
      </c>
      <c r="F45" s="68">
        <v>313026</v>
      </c>
      <c r="G45" s="63"/>
      <c r="H45" s="63"/>
      <c r="I45" s="63"/>
      <c r="J45" s="63"/>
      <c r="K45" s="63"/>
      <c r="L45" s="63"/>
      <c r="M45" s="63"/>
      <c r="N45" s="63"/>
      <c r="O45" s="63"/>
      <c r="P45" s="63"/>
      <c r="Q45" s="63"/>
    </row>
    <row r="46" spans="1:17" x14ac:dyDescent="0.25">
      <c r="A46" s="63"/>
      <c r="B46" s="63"/>
      <c r="C46" s="63"/>
      <c r="D46" s="63"/>
      <c r="E46" s="63"/>
      <c r="F46" s="63"/>
      <c r="G46" s="63"/>
      <c r="H46" s="63"/>
      <c r="I46" s="63"/>
      <c r="J46" s="63"/>
      <c r="K46" s="63"/>
      <c r="L46" s="63"/>
      <c r="M46" s="63"/>
      <c r="N46" s="63"/>
      <c r="O46" s="63"/>
      <c r="P46" s="63"/>
      <c r="Q46" s="63"/>
    </row>
    <row r="47" spans="1:17" x14ac:dyDescent="0.25">
      <c r="A47" s="63"/>
      <c r="B47" s="63"/>
      <c r="C47" s="63"/>
      <c r="D47" s="63"/>
      <c r="E47" s="63"/>
      <c r="F47" s="63"/>
      <c r="G47" s="63"/>
      <c r="H47" s="63"/>
      <c r="I47" s="63"/>
      <c r="J47" s="63"/>
      <c r="K47" s="63"/>
      <c r="L47" s="63"/>
      <c r="M47" s="63"/>
      <c r="N47" s="63"/>
      <c r="O47" s="63"/>
      <c r="P47" s="63"/>
      <c r="Q47" s="63"/>
    </row>
    <row r="48" spans="1:17" x14ac:dyDescent="0.25">
      <c r="A48" s="63"/>
      <c r="B48" s="63"/>
      <c r="C48" s="63"/>
      <c r="D48" s="89" t="s">
        <v>99</v>
      </c>
      <c r="E48" s="90">
        <f>GETPIVOTDATA("[Measures].[Totales]",$D$28)</f>
        <v>73728611</v>
      </c>
      <c r="F48" s="63"/>
      <c r="G48" s="63"/>
      <c r="H48" s="63"/>
      <c r="I48" s="63"/>
      <c r="J48" s="63"/>
      <c r="K48" s="63"/>
      <c r="L48" s="63"/>
      <c r="M48" s="63"/>
      <c r="N48" s="63"/>
      <c r="O48" s="63"/>
      <c r="P48" s="63"/>
      <c r="Q48" s="63"/>
    </row>
    <row r="49" spans="1:17" x14ac:dyDescent="0.25">
      <c r="A49" s="63"/>
      <c r="B49" s="63"/>
      <c r="C49" s="63"/>
      <c r="D49" s="89" t="s">
        <v>100</v>
      </c>
      <c r="E49" s="90">
        <f>GETPIVOTDATA("[Measures].[Totales]",$D$20)</f>
        <v>73728611</v>
      </c>
      <c r="F49" s="63"/>
      <c r="G49" s="63"/>
      <c r="H49" s="63"/>
      <c r="I49" s="63"/>
      <c r="J49" s="63"/>
      <c r="K49" s="63"/>
      <c r="L49" s="63"/>
      <c r="M49" s="63"/>
      <c r="N49" s="63"/>
      <c r="O49" s="63"/>
      <c r="P49" s="63"/>
      <c r="Q49" s="63"/>
    </row>
    <row r="50" spans="1:17" x14ac:dyDescent="0.25">
      <c r="A50" s="63"/>
      <c r="B50" s="63"/>
      <c r="C50" s="63"/>
      <c r="D50" s="89" t="s">
        <v>18</v>
      </c>
      <c r="E50" s="90">
        <f>GETPIVOTDATA("[Measures].[Totales]",$A$20)</f>
        <v>73728611</v>
      </c>
      <c r="F50" s="63"/>
      <c r="G50" s="63"/>
      <c r="H50" s="63"/>
      <c r="I50" s="63"/>
      <c r="J50" s="63"/>
      <c r="K50" s="63"/>
      <c r="L50" s="63"/>
      <c r="M50" s="63"/>
      <c r="N50" s="63"/>
      <c r="O50" s="63"/>
      <c r="P50" s="63"/>
      <c r="Q50" s="63"/>
    </row>
    <row r="51" spans="1:17" x14ac:dyDescent="0.25">
      <c r="A51" s="63"/>
      <c r="B51" s="63"/>
      <c r="C51" s="63"/>
      <c r="D51" s="63"/>
      <c r="E51" s="63"/>
      <c r="F51" s="63"/>
      <c r="G51" s="63"/>
      <c r="H51" s="63"/>
      <c r="I51" s="63"/>
      <c r="J51" s="63"/>
      <c r="K51" s="63"/>
      <c r="L51" s="63"/>
      <c r="M51" s="63"/>
      <c r="N51" s="63"/>
      <c r="O51" s="63"/>
      <c r="P51" s="63"/>
      <c r="Q51" s="63"/>
    </row>
    <row r="52" spans="1:17" x14ac:dyDescent="0.25">
      <c r="A52" s="63"/>
      <c r="B52" s="63"/>
      <c r="C52" s="63"/>
      <c r="D52" s="89" t="s">
        <v>104</v>
      </c>
      <c r="E52" s="89" t="s">
        <v>106</v>
      </c>
      <c r="F52" s="89" t="s">
        <v>105</v>
      </c>
      <c r="G52" s="63"/>
      <c r="H52" s="63"/>
      <c r="I52" s="63"/>
      <c r="J52" s="63"/>
      <c r="K52" s="63"/>
      <c r="L52" s="63"/>
      <c r="M52" s="63"/>
      <c r="N52" s="63"/>
      <c r="O52" s="63"/>
      <c r="P52" s="63"/>
      <c r="Q52" s="63"/>
    </row>
    <row r="53" spans="1:17" x14ac:dyDescent="0.25">
      <c r="A53" s="63"/>
      <c r="B53" s="63"/>
      <c r="C53" s="63"/>
      <c r="D53" s="89" t="s">
        <v>98</v>
      </c>
      <c r="E53" s="90">
        <f>GETPIVOTDATA("[Measures].[Totales]",$D$28)</f>
        <v>73728611</v>
      </c>
      <c r="F53" s="91">
        <v>75000000</v>
      </c>
      <c r="G53" s="63"/>
      <c r="H53" s="63"/>
      <c r="I53" s="63"/>
      <c r="J53" s="63"/>
      <c r="K53" s="63"/>
      <c r="L53" s="63"/>
      <c r="M53" s="63"/>
      <c r="N53" s="63"/>
      <c r="O53" s="63"/>
      <c r="P53" s="63"/>
      <c r="Q53" s="63"/>
    </row>
    <row r="54" spans="1:17" x14ac:dyDescent="0.25">
      <c r="A54" s="63"/>
      <c r="B54" s="63"/>
      <c r="C54" s="63"/>
      <c r="D54" s="89" t="s">
        <v>101</v>
      </c>
      <c r="E54" s="92">
        <f>GETPIVOTDATA("[Measures].[Crecimiento YoY]",$D$28)</f>
        <v>1.8810875061726891</v>
      </c>
      <c r="F54" s="93">
        <v>0.1</v>
      </c>
      <c r="G54" s="63"/>
      <c r="H54" s="63"/>
      <c r="I54" s="63"/>
      <c r="J54" s="63"/>
      <c r="K54" s="63"/>
      <c r="L54" s="63"/>
      <c r="M54" s="63"/>
      <c r="N54" s="63"/>
      <c r="O54" s="63"/>
      <c r="P54" s="63"/>
      <c r="Q54" s="63"/>
    </row>
    <row r="55" spans="1:17" x14ac:dyDescent="0.25">
      <c r="A55" s="63"/>
      <c r="B55" s="63"/>
      <c r="C55" s="63"/>
      <c r="D55" s="89" t="s">
        <v>103</v>
      </c>
      <c r="E55" s="90">
        <f>GETPIVOTDATA("[Measures].[Precio Promedio Ponderado]",$D$28)</f>
        <v>235.535102515446</v>
      </c>
      <c r="F55" s="90">
        <v>235</v>
      </c>
      <c r="G55" s="63"/>
      <c r="H55" s="63"/>
      <c r="I55" s="63"/>
      <c r="J55" s="63"/>
      <c r="K55" s="63"/>
      <c r="L55" s="63"/>
      <c r="M55" s="63"/>
      <c r="N55" s="63"/>
      <c r="O55" s="63"/>
      <c r="P55" s="63"/>
      <c r="Q55" s="63"/>
    </row>
    <row r="56" spans="1:17" x14ac:dyDescent="0.25">
      <c r="A56" s="63"/>
      <c r="B56" s="63"/>
      <c r="C56" s="63"/>
      <c r="D56" s="63"/>
      <c r="E56" s="63"/>
      <c r="F56" s="63"/>
      <c r="G56" s="63"/>
      <c r="H56" s="63"/>
      <c r="I56" s="63"/>
      <c r="J56" s="63"/>
      <c r="K56" s="63"/>
      <c r="L56" s="63"/>
      <c r="M56" s="63"/>
      <c r="N56" s="63"/>
      <c r="O56" s="63"/>
      <c r="P56" s="63"/>
      <c r="Q56" s="63"/>
    </row>
    <row r="57" spans="1:17" x14ac:dyDescent="0.25">
      <c r="A57" s="63"/>
      <c r="B57" s="63"/>
      <c r="C57" s="63"/>
      <c r="D57" s="63"/>
      <c r="E57" s="63"/>
      <c r="F57" s="63"/>
      <c r="G57" s="63"/>
      <c r="H57" s="63"/>
      <c r="I57" s="63"/>
      <c r="J57" s="63"/>
      <c r="K57" s="63"/>
      <c r="L57" s="63"/>
      <c r="M57" s="63"/>
      <c r="N57" s="63"/>
      <c r="O57" s="63"/>
      <c r="P57" s="63"/>
      <c r="Q57" s="63"/>
    </row>
    <row r="58" spans="1:17" x14ac:dyDescent="0.25">
      <c r="A58" s="63"/>
      <c r="B58" s="63"/>
      <c r="C58" s="63"/>
      <c r="D58" s="63"/>
      <c r="E58" s="63"/>
      <c r="F58" s="63"/>
      <c r="G58" s="63"/>
      <c r="H58" s="63"/>
      <c r="I58" s="63"/>
      <c r="J58" s="63"/>
      <c r="K58" s="63"/>
      <c r="L58" s="94"/>
      <c r="M58" s="94"/>
      <c r="N58" s="94"/>
      <c r="O58" s="94"/>
      <c r="P58" s="63"/>
      <c r="Q58" s="63"/>
    </row>
    <row r="59" spans="1:17" x14ac:dyDescent="0.25">
      <c r="A59" s="63"/>
      <c r="B59" s="63"/>
      <c r="C59" s="63"/>
      <c r="D59" s="63"/>
      <c r="E59" s="63"/>
      <c r="F59" s="63"/>
      <c r="G59" s="63"/>
      <c r="H59" s="63"/>
      <c r="I59" s="63"/>
      <c r="J59" s="63"/>
      <c r="K59" s="63"/>
      <c r="L59" s="63"/>
      <c r="M59" s="63"/>
      <c r="N59" s="63"/>
      <c r="O59" s="63"/>
      <c r="P59" s="63"/>
      <c r="Q59" s="63"/>
    </row>
    <row r="60" spans="1:17" x14ac:dyDescent="0.25">
      <c r="A60" s="63"/>
      <c r="B60" s="63"/>
      <c r="C60" s="63"/>
      <c r="D60" s="63"/>
      <c r="E60" s="63"/>
      <c r="F60" s="63"/>
      <c r="G60" s="63"/>
      <c r="H60" s="63"/>
      <c r="I60" s="63"/>
      <c r="J60" s="63"/>
      <c r="K60" s="63"/>
      <c r="L60" s="63"/>
      <c r="M60" s="63"/>
      <c r="N60" s="63"/>
      <c r="O60" s="63"/>
      <c r="P60" s="63"/>
      <c r="Q60" s="63"/>
    </row>
    <row r="61" spans="1:17" ht="15" customHeight="1" x14ac:dyDescent="0.25">
      <c r="A61" s="63"/>
      <c r="B61" s="63"/>
      <c r="C61" s="95"/>
      <c r="D61" s="95"/>
      <c r="E61" s="95"/>
      <c r="F61" s="95"/>
      <c r="G61" s="63"/>
      <c r="H61" s="63"/>
      <c r="I61" s="63"/>
      <c r="J61" s="63"/>
      <c r="K61" s="63"/>
      <c r="L61" s="63"/>
      <c r="M61" s="63"/>
      <c r="N61" s="63"/>
      <c r="O61" s="63"/>
      <c r="P61" s="63"/>
      <c r="Q61" s="63"/>
    </row>
    <row r="62" spans="1:17" ht="15" customHeight="1" x14ac:dyDescent="0.25">
      <c r="A62" s="63"/>
      <c r="B62" s="63"/>
      <c r="C62" s="95"/>
      <c r="D62" s="95"/>
      <c r="E62" s="95"/>
      <c r="F62" s="95"/>
      <c r="G62" s="63"/>
      <c r="H62" s="63"/>
      <c r="I62" s="63"/>
      <c r="J62" s="96"/>
      <c r="K62" s="97"/>
      <c r="L62" s="97"/>
      <c r="M62" s="97"/>
      <c r="N62" s="97"/>
      <c r="O62" s="63"/>
      <c r="P62" s="63"/>
      <c r="Q62" s="63"/>
    </row>
    <row r="63" spans="1:17" ht="15" customHeight="1" x14ac:dyDescent="0.25">
      <c r="A63" s="63"/>
      <c r="B63" s="63"/>
      <c r="C63" s="95"/>
      <c r="D63" s="95"/>
      <c r="E63" s="95"/>
      <c r="F63" s="95"/>
      <c r="G63" s="63"/>
      <c r="H63" s="63"/>
      <c r="I63" s="63"/>
      <c r="J63" s="97"/>
      <c r="K63" s="97"/>
      <c r="L63" s="97"/>
      <c r="M63" s="97"/>
      <c r="N63" s="97"/>
      <c r="O63" s="63"/>
      <c r="P63" s="63"/>
      <c r="Q63" s="63"/>
    </row>
    <row r="64" spans="1:17" ht="15" customHeight="1" x14ac:dyDescent="0.25">
      <c r="A64" s="63"/>
      <c r="B64" s="63"/>
      <c r="C64" s="95"/>
      <c r="D64" s="95"/>
      <c r="E64" s="95"/>
      <c r="F64" s="95"/>
      <c r="G64" s="63"/>
      <c r="H64" s="63"/>
      <c r="I64" s="63"/>
      <c r="J64" s="97"/>
      <c r="K64" s="97"/>
      <c r="L64" s="97"/>
      <c r="M64" s="97"/>
      <c r="N64" s="97"/>
      <c r="O64" s="63"/>
      <c r="P64" s="63"/>
      <c r="Q64" s="63"/>
    </row>
    <row r="65" spans="1:17" ht="15" customHeight="1" x14ac:dyDescent="0.25">
      <c r="A65" s="63"/>
      <c r="B65" s="63"/>
      <c r="C65" s="95"/>
      <c r="D65" s="95"/>
      <c r="E65" s="95"/>
      <c r="F65" s="95"/>
      <c r="G65" s="63"/>
      <c r="H65" s="63"/>
      <c r="I65" s="63"/>
      <c r="J65" s="97"/>
      <c r="K65" s="97"/>
      <c r="L65" s="97"/>
      <c r="M65" s="97"/>
      <c r="N65" s="97"/>
      <c r="O65" s="63"/>
      <c r="P65" s="63"/>
      <c r="Q65" s="63"/>
    </row>
    <row r="66" spans="1:17" ht="15" customHeight="1" x14ac:dyDescent="0.25">
      <c r="A66" s="63"/>
      <c r="B66" s="63"/>
      <c r="C66" s="95"/>
      <c r="D66" s="95"/>
      <c r="E66" s="95"/>
      <c r="F66" s="95"/>
      <c r="G66" s="63"/>
      <c r="H66" s="63"/>
      <c r="I66" s="63"/>
      <c r="J66" s="97"/>
      <c r="K66" s="97"/>
      <c r="L66" s="97"/>
      <c r="M66" s="97"/>
      <c r="N66" s="97"/>
      <c r="O66" s="63"/>
      <c r="P66" s="63"/>
      <c r="Q66" s="63"/>
    </row>
    <row r="67" spans="1:17" ht="15" customHeight="1" x14ac:dyDescent="0.25">
      <c r="A67" s="63"/>
      <c r="B67" s="63"/>
      <c r="C67" s="95"/>
      <c r="D67" s="95"/>
      <c r="E67" s="95"/>
      <c r="F67" s="95"/>
      <c r="G67" s="63"/>
      <c r="H67" s="63"/>
      <c r="I67" s="63"/>
      <c r="J67" s="63"/>
      <c r="K67" s="63"/>
      <c r="L67" s="63"/>
      <c r="M67" s="63"/>
      <c r="N67" s="63"/>
      <c r="O67" s="63"/>
      <c r="P67" s="63"/>
      <c r="Q67" s="63"/>
    </row>
    <row r="68" spans="1:17" ht="15" customHeight="1" x14ac:dyDescent="0.25">
      <c r="C68" s="62"/>
      <c r="D68" s="62"/>
      <c r="E68" s="62"/>
      <c r="F68" s="62"/>
    </row>
    <row r="69" spans="1:17" ht="15" customHeight="1" x14ac:dyDescent="0.25">
      <c r="C69" s="62"/>
      <c r="D69" s="62"/>
      <c r="E69" s="62"/>
      <c r="F69" s="62"/>
      <c r="H69" s="11" t="s">
        <v>96</v>
      </c>
      <c r="I69" s="11" t="s">
        <v>97</v>
      </c>
      <c r="J69" s="11" t="s">
        <v>98</v>
      </c>
    </row>
    <row r="70" spans="1:17" ht="15" customHeight="1" x14ac:dyDescent="0.25">
      <c r="C70" s="62"/>
      <c r="D70" s="62"/>
      <c r="E70" s="62"/>
      <c r="F70" s="62"/>
      <c r="H70" s="11" t="s">
        <v>94</v>
      </c>
      <c r="I70" s="45">
        <v>11052301</v>
      </c>
      <c r="J70" s="45">
        <v>53341</v>
      </c>
    </row>
    <row r="71" spans="1:17" ht="15" customHeight="1" x14ac:dyDescent="0.25">
      <c r="C71" s="62"/>
      <c r="D71" s="62"/>
      <c r="E71" s="62"/>
      <c r="F71" s="62"/>
      <c r="H71" s="11" t="s">
        <v>90</v>
      </c>
      <c r="I71" s="45">
        <v>6778211</v>
      </c>
      <c r="J71" s="45">
        <v>27575</v>
      </c>
    </row>
    <row r="72" spans="1:17" ht="15" customHeight="1" x14ac:dyDescent="0.25">
      <c r="C72" s="62"/>
      <c r="D72" s="62"/>
      <c r="E72" s="62"/>
      <c r="F72" s="62"/>
      <c r="H72" s="11" t="s">
        <v>92</v>
      </c>
      <c r="I72" s="45">
        <v>12536565</v>
      </c>
      <c r="J72" s="45">
        <v>51020</v>
      </c>
    </row>
    <row r="73" spans="1:17" ht="15" customHeight="1" x14ac:dyDescent="0.25">
      <c r="C73" s="62"/>
      <c r="D73" s="62"/>
      <c r="E73" s="62"/>
      <c r="F73" s="62"/>
      <c r="H73" s="11" t="s">
        <v>91</v>
      </c>
      <c r="I73" s="45">
        <v>11400097</v>
      </c>
      <c r="J73" s="45">
        <v>41896</v>
      </c>
    </row>
    <row r="74" spans="1:17" ht="17.25" customHeight="1" x14ac:dyDescent="0.25">
      <c r="C74" s="62"/>
      <c r="D74" s="62"/>
      <c r="E74" s="62"/>
      <c r="F74" s="62"/>
      <c r="H74" s="11" t="s">
        <v>93</v>
      </c>
      <c r="I74" s="45">
        <v>6654768</v>
      </c>
      <c r="J74" s="45">
        <v>29568</v>
      </c>
    </row>
    <row r="75" spans="1:17" ht="23.25" customHeight="1" x14ac:dyDescent="0.25">
      <c r="C75" s="62"/>
      <c r="D75" s="62"/>
      <c r="E75" s="62"/>
      <c r="F75" s="62"/>
      <c r="H75" s="11" t="s">
        <v>87</v>
      </c>
      <c r="I75" s="45">
        <v>8315379</v>
      </c>
      <c r="J75" s="45">
        <v>37133</v>
      </c>
    </row>
    <row r="76" spans="1:17" ht="24" customHeight="1" x14ac:dyDescent="0.25">
      <c r="C76" s="62"/>
      <c r="D76" s="62"/>
      <c r="E76" s="62"/>
      <c r="F76" s="62"/>
      <c r="H76" s="11" t="s">
        <v>88</v>
      </c>
      <c r="I76" s="45">
        <v>9829585</v>
      </c>
      <c r="J76" s="45">
        <v>44505</v>
      </c>
    </row>
    <row r="77" spans="1:17" x14ac:dyDescent="0.25">
      <c r="H77" s="11" t="s">
        <v>89</v>
      </c>
      <c r="I77" s="45">
        <v>7161705</v>
      </c>
      <c r="J77" s="45">
        <v>27988</v>
      </c>
    </row>
    <row r="78" spans="1:17" x14ac:dyDescent="0.25">
      <c r="H78" s="11" t="s">
        <v>29</v>
      </c>
      <c r="I78" s="45">
        <v>73728611</v>
      </c>
      <c r="J78" s="45">
        <v>313026</v>
      </c>
    </row>
  </sheetData>
  <mergeCells count="12">
    <mergeCell ref="F15:G15"/>
    <mergeCell ref="F16:G16"/>
    <mergeCell ref="F17:G17"/>
    <mergeCell ref="A1:Q2"/>
    <mergeCell ref="A3:Q3"/>
    <mergeCell ref="L58:O58"/>
    <mergeCell ref="B15:C15"/>
    <mergeCell ref="B16:C16"/>
    <mergeCell ref="B17:C17"/>
    <mergeCell ref="D15:E15"/>
    <mergeCell ref="D16:E16"/>
    <mergeCell ref="D17:E17"/>
  </mergeCells>
  <conditionalFormatting sqref="E54">
    <cfRule type="expression" dxfId="43" priority="3">
      <formula>E54&lt;$F$54</formula>
    </cfRule>
    <cfRule type="expression" dxfId="42" priority="4">
      <formula>E54&gt;=$F$54</formula>
    </cfRule>
    <cfRule type="cellIs" dxfId="41" priority="12" operator="lessThan">
      <formula>0</formula>
    </cfRule>
    <cfRule type="cellIs" dxfId="40" priority="13" operator="greaterThanOrEqual">
      <formula>0</formula>
    </cfRule>
  </conditionalFormatting>
  <conditionalFormatting sqref="E53">
    <cfRule type="expression" dxfId="39" priority="5">
      <formula>E53&gt;=$F$53</formula>
    </cfRule>
    <cfRule type="expression" dxfId="38" priority="6">
      <formula>E53&lt;$F$53</formula>
    </cfRule>
  </conditionalFormatting>
  <conditionalFormatting sqref="E55">
    <cfRule type="expression" dxfId="37" priority="1">
      <formula>E55&lt;$F$55</formula>
    </cfRule>
    <cfRule type="expression" dxfId="36" priority="2">
      <formula>E55&gt;=$F$55</formula>
    </cfRule>
  </conditionalFormatting>
  <pageMargins left="0.7" right="0.7" top="0.75" bottom="0.75" header="0.3" footer="0.3"/>
  <pageSetup orientation="portrait" r:id="rId6"/>
  <drawing r:id="rId7"/>
  <extLst>
    <ext xmlns:x14="http://schemas.microsoft.com/office/spreadsheetml/2009/9/main" uri="{A8765BA9-456A-4dab-B4F3-ACF838C121DE}">
      <x14:slicerList>
        <x14:slicer r:id="rId8"/>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2E221-A6EC-43B4-9C32-8E01E6E22861}">
  <dimension ref="A1:D29"/>
  <sheetViews>
    <sheetView showGridLines="0" workbookViewId="0">
      <selection activeCell="A8" sqref="A8:B8"/>
    </sheetView>
  </sheetViews>
  <sheetFormatPr baseColWidth="10" defaultRowHeight="15" x14ac:dyDescent="0.25"/>
  <cols>
    <col min="4" max="4" width="12" customWidth="1"/>
  </cols>
  <sheetData>
    <row r="1" spans="1:4" x14ac:dyDescent="0.25">
      <c r="A1" s="57"/>
      <c r="B1" s="57"/>
      <c r="C1" s="57"/>
      <c r="D1" s="57"/>
    </row>
    <row r="4" spans="1:4" x14ac:dyDescent="0.25">
      <c r="A4" s="58"/>
      <c r="B4" s="58"/>
      <c r="C4" s="58"/>
      <c r="D4" s="58"/>
    </row>
    <row r="5" spans="1:4" x14ac:dyDescent="0.25">
      <c r="A5" s="58"/>
      <c r="B5" s="58"/>
      <c r="C5" s="58"/>
      <c r="D5" s="58"/>
    </row>
    <row r="6" spans="1:4" ht="40.5" customHeight="1" x14ac:dyDescent="0.25">
      <c r="A6" s="58"/>
      <c r="B6" s="58"/>
      <c r="C6" s="58"/>
      <c r="D6" s="58"/>
    </row>
    <row r="8" spans="1:4" x14ac:dyDescent="0.25">
      <c r="A8" s="57"/>
      <c r="B8" s="57"/>
    </row>
    <row r="9" spans="1:4" x14ac:dyDescent="0.25">
      <c r="A9" s="58"/>
      <c r="B9" s="58"/>
      <c r="C9" s="58"/>
      <c r="D9" s="58"/>
    </row>
    <row r="10" spans="1:4" x14ac:dyDescent="0.25">
      <c r="A10" s="58"/>
      <c r="B10" s="58"/>
      <c r="C10" s="58"/>
      <c r="D10" s="58"/>
    </row>
    <row r="11" spans="1:4" ht="33.75" customHeight="1" x14ac:dyDescent="0.25">
      <c r="A11" s="58"/>
      <c r="B11" s="58"/>
      <c r="C11" s="58"/>
      <c r="D11" s="58"/>
    </row>
    <row r="13" spans="1:4" x14ac:dyDescent="0.25">
      <c r="A13" s="57"/>
      <c r="B13" s="57"/>
    </row>
    <row r="14" spans="1:4" x14ac:dyDescent="0.25">
      <c r="A14" s="59"/>
      <c r="B14" s="59"/>
      <c r="C14" s="59"/>
      <c r="D14" s="59"/>
    </row>
    <row r="15" spans="1:4" x14ac:dyDescent="0.25">
      <c r="A15" s="59"/>
      <c r="B15" s="59"/>
      <c r="C15" s="59"/>
      <c r="D15" s="59"/>
    </row>
    <row r="16" spans="1:4" x14ac:dyDescent="0.25">
      <c r="A16" s="59"/>
      <c r="B16" s="59"/>
      <c r="C16" s="59"/>
      <c r="D16" s="59"/>
    </row>
    <row r="17" spans="1:4" ht="21" customHeight="1" x14ac:dyDescent="0.25">
      <c r="A17" s="59"/>
      <c r="B17" s="59"/>
      <c r="C17" s="59"/>
      <c r="D17" s="59"/>
    </row>
    <row r="19" spans="1:4" x14ac:dyDescent="0.25">
      <c r="A19" s="57"/>
      <c r="B19" s="57"/>
    </row>
    <row r="20" spans="1:4" x14ac:dyDescent="0.25">
      <c r="A20" s="58"/>
      <c r="B20" s="58"/>
      <c r="C20" s="58"/>
      <c r="D20" s="58"/>
    </row>
    <row r="21" spans="1:4" x14ac:dyDescent="0.25">
      <c r="A21" s="58"/>
      <c r="B21" s="58"/>
      <c r="C21" s="58"/>
      <c r="D21" s="58"/>
    </row>
    <row r="22" spans="1:4" x14ac:dyDescent="0.25">
      <c r="A22" s="58"/>
      <c r="B22" s="58"/>
      <c r="C22" s="58"/>
      <c r="D22" s="58"/>
    </row>
    <row r="23" spans="1:4" ht="29.25" customHeight="1" x14ac:dyDescent="0.25">
      <c r="A23" s="58"/>
      <c r="B23" s="58"/>
      <c r="C23" s="58"/>
      <c r="D23" s="58"/>
    </row>
    <row r="25" spans="1:4" x14ac:dyDescent="0.25">
      <c r="A25" s="57"/>
      <c r="B25" s="57"/>
    </row>
    <row r="26" spans="1:4" x14ac:dyDescent="0.25">
      <c r="A26" s="58"/>
      <c r="B26" s="58"/>
      <c r="C26" s="58"/>
      <c r="D26" s="58"/>
    </row>
    <row r="27" spans="1:4" x14ac:dyDescent="0.25">
      <c r="A27" s="58"/>
      <c r="B27" s="58"/>
      <c r="C27" s="58"/>
      <c r="D27" s="58"/>
    </row>
    <row r="28" spans="1:4" x14ac:dyDescent="0.25">
      <c r="A28" s="58"/>
      <c r="B28" s="58"/>
      <c r="C28" s="58"/>
      <c r="D28" s="58"/>
    </row>
    <row r="29" spans="1:4" x14ac:dyDescent="0.25">
      <c r="A29" s="58"/>
      <c r="B29" s="58"/>
      <c r="C29" s="58"/>
      <c r="D29" s="58"/>
    </row>
  </sheetData>
  <mergeCells count="10">
    <mergeCell ref="A19:B19"/>
    <mergeCell ref="A20:D23"/>
    <mergeCell ref="A25:B25"/>
    <mergeCell ref="A26:D29"/>
    <mergeCell ref="A1:D1"/>
    <mergeCell ref="A4:D6"/>
    <mergeCell ref="A8:B8"/>
    <mergeCell ref="A9:D11"/>
    <mergeCell ref="A13:B13"/>
    <mergeCell ref="A14:D1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
  <sheetViews>
    <sheetView workbookViewId="0"/>
  </sheetViews>
  <sheetFormatPr baseColWidth="10"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55E8665B-1076-406A-B010-BCDC36EAD6AC}">
  <ds:schemaRefs/>
</ds:datastoreItem>
</file>

<file path=customXml/itemProps2.xml><?xml version="1.0" encoding="utf-8"?>
<ds:datastoreItem xmlns:ds="http://schemas.openxmlformats.org/officeDocument/2006/customXml" ds:itemID="{83FE7A92-D0B4-406C-BC42-85CEEB80BD08}">
  <ds:schemaRefs/>
</ds:datastoreItem>
</file>

<file path=customXml/itemProps3.xml><?xml version="1.0" encoding="utf-8"?>
<ds:datastoreItem xmlns:ds="http://schemas.openxmlformats.org/officeDocument/2006/customXml" ds:itemID="{FC60B30F-62AF-4F79-8EA5-E323658AE2B2}">
  <ds:schemaRefs/>
</ds:datastoreItem>
</file>

<file path=customXml/itemProps4.xml><?xml version="1.0" encoding="utf-8"?>
<ds:datastoreItem xmlns:ds="http://schemas.openxmlformats.org/officeDocument/2006/customXml" ds:itemID="{6820EA6B-087C-4A0E-B914-75F16ACB8863}">
  <ds:schemaRefs/>
</ds:datastoreItem>
</file>

<file path=customXml/itemProps5.xml><?xml version="1.0" encoding="utf-8"?>
<ds:datastoreItem xmlns:ds="http://schemas.openxmlformats.org/officeDocument/2006/customXml" ds:itemID="{B954BB37-E848-4154-A973-710C68E560BF}">
  <ds:schemaRefs/>
</ds:datastoreItem>
</file>

<file path=customXml/itemProps6.xml><?xml version="1.0" encoding="utf-8"?>
<ds:datastoreItem xmlns:ds="http://schemas.openxmlformats.org/officeDocument/2006/customXml" ds:itemID="{734E97ED-699A-469B-A8F7-2306BA9BAB27}">
  <ds:schemaRefs/>
</ds:datastoreItem>
</file>

<file path=customXml/itemProps7.xml><?xml version="1.0" encoding="utf-8"?>
<ds:datastoreItem xmlns:ds="http://schemas.openxmlformats.org/officeDocument/2006/customXml" ds:itemID="{77274387-8FDC-492F-B7AD-E5C470D9AB37}">
  <ds:schemaRefs/>
</ds:datastoreItem>
</file>

<file path=customXml/itemProps8.xml><?xml version="1.0" encoding="utf-8"?>
<ds:datastoreItem xmlns:ds="http://schemas.openxmlformats.org/officeDocument/2006/customXml" ds:itemID="{193CEB0E-03E3-4506-93D3-1CC35FD709F6}">
  <ds:schemaRefs/>
</ds:datastoreItem>
</file>

<file path=customXml/itemProps9.xml><?xml version="1.0" encoding="utf-8"?>
<ds:datastoreItem xmlns:ds="http://schemas.openxmlformats.org/officeDocument/2006/customXml" ds:itemID="{5F767932-8758-4444-AC96-265A772303BA}">
  <ds:schemaRefs/>
</ds:datastoreItem>
</file>

<file path=customXml/itemProps10.xml><?xml version="1.0" encoding="utf-8"?>
<ds:datastoreItem xmlns:ds="http://schemas.openxmlformats.org/officeDocument/2006/customXml" ds:itemID="{AE16AF5B-497D-4D55-ACF9-438D70D6754B}">
  <ds:schemaRefs>
    <ds:schemaRef ds:uri="http://schemas.microsoft.com/DataMashup"/>
  </ds:schemaRefs>
</ds:datastoreItem>
</file>

<file path=customXml/itemProps11.xml><?xml version="1.0" encoding="utf-8"?>
<ds:datastoreItem xmlns:ds="http://schemas.openxmlformats.org/officeDocument/2006/customXml" ds:itemID="{48C8647E-7709-4A98-B6D2-492F11E8BA50}">
  <ds:schemaRefs/>
</ds:datastoreItem>
</file>

<file path=customXml/itemProps12.xml><?xml version="1.0" encoding="utf-8"?>
<ds:datastoreItem xmlns:ds="http://schemas.openxmlformats.org/officeDocument/2006/customXml" ds:itemID="{921A912E-D2F6-405E-8685-C7DA4B0D72DE}">
  <ds:schemaRefs/>
</ds:datastoreItem>
</file>

<file path=customXml/itemProps13.xml><?xml version="1.0" encoding="utf-8"?>
<ds:datastoreItem xmlns:ds="http://schemas.openxmlformats.org/officeDocument/2006/customXml" ds:itemID="{EED6B1C6-AAFF-4617-8CD6-07A371B75317}">
  <ds:schemaRefs/>
</ds:datastoreItem>
</file>

<file path=customXml/itemProps14.xml><?xml version="1.0" encoding="utf-8"?>
<ds:datastoreItem xmlns:ds="http://schemas.openxmlformats.org/officeDocument/2006/customXml" ds:itemID="{1516586E-7BC9-44D1-885E-6ACC5A28B902}">
  <ds:schemaRefs/>
</ds:datastoreItem>
</file>

<file path=customXml/itemProps15.xml><?xml version="1.0" encoding="utf-8"?>
<ds:datastoreItem xmlns:ds="http://schemas.openxmlformats.org/officeDocument/2006/customXml" ds:itemID="{173271AD-D158-43FB-BF6F-23A41ABF8E63}">
  <ds:schemaRefs/>
</ds:datastoreItem>
</file>

<file path=customXml/itemProps16.xml><?xml version="1.0" encoding="utf-8"?>
<ds:datastoreItem xmlns:ds="http://schemas.openxmlformats.org/officeDocument/2006/customXml" ds:itemID="{B8391E32-9FDD-45A8-9B41-7385283CD319}">
  <ds:schemaRefs/>
</ds:datastoreItem>
</file>

<file path=customXml/itemProps17.xml><?xml version="1.0" encoding="utf-8"?>
<ds:datastoreItem xmlns:ds="http://schemas.openxmlformats.org/officeDocument/2006/customXml" ds:itemID="{7730F716-A8E5-4FB3-87F9-0609B6CA5160}">
  <ds:schemaRefs/>
</ds:datastoreItem>
</file>

<file path=customXml/itemProps18.xml><?xml version="1.0" encoding="utf-8"?>
<ds:datastoreItem xmlns:ds="http://schemas.openxmlformats.org/officeDocument/2006/customXml" ds:itemID="{99FBCF32-4149-4D1B-96FB-6EC4C5836B1B}">
  <ds:schemaRefs/>
</ds:datastoreItem>
</file>

<file path=customXml/itemProps19.xml><?xml version="1.0" encoding="utf-8"?>
<ds:datastoreItem xmlns:ds="http://schemas.openxmlformats.org/officeDocument/2006/customXml" ds:itemID="{2E826DE6-9747-4A90-B57E-61858E5AE7B9}">
  <ds:schemaRefs/>
</ds:datastoreItem>
</file>

<file path=customXml/itemProps20.xml><?xml version="1.0" encoding="utf-8"?>
<ds:datastoreItem xmlns:ds="http://schemas.openxmlformats.org/officeDocument/2006/customXml" ds:itemID="{4A14CA50-F656-4C6B-BD4F-A66789709483}">
  <ds:schemaRefs/>
</ds:datastoreItem>
</file>

<file path=customXml/itemProps21.xml><?xml version="1.0" encoding="utf-8"?>
<ds:datastoreItem xmlns:ds="http://schemas.openxmlformats.org/officeDocument/2006/customXml" ds:itemID="{BA981C28-3EB0-4C99-8E3A-94BD079DBE1D}">
  <ds:schemaRefs/>
</ds:datastoreItem>
</file>

<file path=customXml/itemProps22.xml><?xml version="1.0" encoding="utf-8"?>
<ds:datastoreItem xmlns:ds="http://schemas.openxmlformats.org/officeDocument/2006/customXml" ds:itemID="{9A5500E0-50CD-4076-B230-9BE50837499A}">
  <ds:schemaRefs/>
</ds:datastoreItem>
</file>

<file path=customXml/itemProps23.xml><?xml version="1.0" encoding="utf-8"?>
<ds:datastoreItem xmlns:ds="http://schemas.openxmlformats.org/officeDocument/2006/customXml" ds:itemID="{B6AD9418-331A-4339-B37F-B9E327C8EAD6}">
  <ds:schemaRefs/>
</ds:datastoreItem>
</file>

<file path=customXml/itemProps24.xml><?xml version="1.0" encoding="utf-8"?>
<ds:datastoreItem xmlns:ds="http://schemas.openxmlformats.org/officeDocument/2006/customXml" ds:itemID="{F9E4089E-3128-4BCB-8279-64B038E9EC6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Reporte_Ejecutivo</vt:lpstr>
      <vt:lpstr>Resumen del escenario</vt:lpstr>
      <vt:lpstr>Evaluación_Financiera</vt:lpstr>
      <vt:lpstr>Estadisticas</vt:lpstr>
      <vt:lpstr>Dashboard_Final</vt:lpstr>
      <vt:lpstr>Registro_IA</vt:lpstr>
      <vt:lpstr>Datos_ETL</vt:lpstr>
      <vt:lpstr>Reporte_Ejecutivo!Área_de_impresión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2026-09-23T17:58:08Z</dcterms:modified>
</cp:coreProperties>
</file>